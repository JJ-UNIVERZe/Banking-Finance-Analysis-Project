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65481A08-9D38-4798-9F61-B726625E659A}" xr6:coauthVersionLast="47" xr6:coauthVersionMax="47" xr10:uidLastSave="{00000000-0000-0000-0000-000000000000}"/>
  <bookViews>
    <workbookView xWindow="-108" yWindow="-108" windowWidth="23256" windowHeight="12456" xr2:uid="{6AF1D6D5-F556-4A88-A4AA-FD1ECAA601D2}"/>
  </bookViews>
  <sheets>
    <sheet name="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01" i="1" l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<sst xmlns="http://schemas.openxmlformats.org/spreadsheetml/2006/main" count="16822" uniqueCount="2709">
  <si>
    <t>Customer_ID</t>
  </si>
  <si>
    <t>Customer_Name</t>
  </si>
  <si>
    <t>Age</t>
  </si>
  <si>
    <t>City</t>
  </si>
  <si>
    <t>Branch_Code</t>
  </si>
  <si>
    <t>Branch_Name</t>
  </si>
  <si>
    <t>Account_Type</t>
  </si>
  <si>
    <t>Customer_Segment</t>
  </si>
  <si>
    <t>Annual_Income</t>
  </si>
  <si>
    <t>Account_Balance</t>
  </si>
  <si>
    <t>Loan_Type</t>
  </si>
  <si>
    <t>Loan_Amount</t>
  </si>
  <si>
    <t>Loan_Status</t>
  </si>
  <si>
    <t>Outstanding_Loan</t>
  </si>
  <si>
    <t>Delayed_Payment</t>
  </si>
  <si>
    <t>Transaction Month</t>
  </si>
  <si>
    <t>Transaction_Date</t>
  </si>
  <si>
    <t>Transaction_ID</t>
  </si>
  <si>
    <t>Transaction_Type</t>
  </si>
  <si>
    <t>Transaction_Amount</t>
  </si>
  <si>
    <t>Transaction_Channel</t>
  </si>
  <si>
    <t>Transaction_Status</t>
  </si>
  <si>
    <t>CUST00001</t>
  </si>
  <si>
    <t>Arun Verma</t>
  </si>
  <si>
    <t>Delhi</t>
  </si>
  <si>
    <t>BR007</t>
  </si>
  <si>
    <t>Current</t>
  </si>
  <si>
    <t>Business</t>
  </si>
  <si>
    <t>Auto Loan</t>
  </si>
  <si>
    <t>Approved</t>
  </si>
  <si>
    <t>No</t>
  </si>
  <si>
    <t>TXN000001</t>
  </si>
  <si>
    <t>Payment</t>
  </si>
  <si>
    <t>Online</t>
  </si>
  <si>
    <t>Failed</t>
  </si>
  <si>
    <t>CUST00002</t>
  </si>
  <si>
    <t>Isha Thomas</t>
  </si>
  <si>
    <t>Kochi</t>
  </si>
  <si>
    <t>BR003</t>
  </si>
  <si>
    <t>Savings</t>
  </si>
  <si>
    <t>Retail</t>
  </si>
  <si>
    <t>Business Loan</t>
  </si>
  <si>
    <t>Rejected</t>
  </si>
  <si>
    <t>TXN000002</t>
  </si>
  <si>
    <t>Withdrawal</t>
  </si>
  <si>
    <t>Mobile App</t>
  </si>
  <si>
    <t>Pending</t>
  </si>
  <si>
    <t>CUST00003</t>
  </si>
  <si>
    <t>Meera Kumar</t>
  </si>
  <si>
    <t>Hyderabad</t>
  </si>
  <si>
    <t>BR004</t>
  </si>
  <si>
    <t>Premium</t>
  </si>
  <si>
    <t>Education Loan</t>
  </si>
  <si>
    <t>TXN000003</t>
  </si>
  <si>
    <t>Deposit</t>
  </si>
  <si>
    <t>CUST00004</t>
  </si>
  <si>
    <t>Meera Patel</t>
  </si>
  <si>
    <t>Pune</t>
  </si>
  <si>
    <t>BR006</t>
  </si>
  <si>
    <t>Home Loan</t>
  </si>
  <si>
    <t>TXN000004</t>
  </si>
  <si>
    <t>Upi</t>
  </si>
  <si>
    <t>Completed</t>
  </si>
  <si>
    <t>CUST00005</t>
  </si>
  <si>
    <t>Vivek Menon</t>
  </si>
  <si>
    <t>Mumbai</t>
  </si>
  <si>
    <t>BR005</t>
  </si>
  <si>
    <t>Student</t>
  </si>
  <si>
    <t>Personal Loan</t>
  </si>
  <si>
    <t>TXN000005</t>
  </si>
  <si>
    <t>Transfer</t>
  </si>
  <si>
    <t>Branch</t>
  </si>
  <si>
    <t>CUST00006</t>
  </si>
  <si>
    <t>Manoj Das</t>
  </si>
  <si>
    <t>No Loan</t>
  </si>
  <si>
    <t>Not Applicable</t>
  </si>
  <si>
    <t>TXN000006</t>
  </si>
  <si>
    <t>Atm</t>
  </si>
  <si>
    <t>CUST00007</t>
  </si>
  <si>
    <t>Neha Verma</t>
  </si>
  <si>
    <t>Salary</t>
  </si>
  <si>
    <t>TXN000007</t>
  </si>
  <si>
    <t>CUST00008</t>
  </si>
  <si>
    <t>Rohan Kumar</t>
  </si>
  <si>
    <t>Bangalore</t>
  </si>
  <si>
    <t>BR001</t>
  </si>
  <si>
    <t>TXN000008</t>
  </si>
  <si>
    <t>CUST00009</t>
  </si>
  <si>
    <t>Vivek Sharma</t>
  </si>
  <si>
    <t>TXN000009</t>
  </si>
  <si>
    <t>CUST00010</t>
  </si>
  <si>
    <t>Vivek Kumar</t>
  </si>
  <si>
    <t>Chennai</t>
  </si>
  <si>
    <t>BR002</t>
  </si>
  <si>
    <t>TXN000010</t>
  </si>
  <si>
    <t>CUST00011</t>
  </si>
  <si>
    <t>Rahul Menon</t>
  </si>
  <si>
    <t>Coimbatore</t>
  </si>
  <si>
    <t>BR008</t>
  </si>
  <si>
    <t>TXN000011</t>
  </si>
  <si>
    <t>CUST00012</t>
  </si>
  <si>
    <t>Kavya Singh</t>
  </si>
  <si>
    <t>TXN000012</t>
  </si>
  <si>
    <t>CUST00013</t>
  </si>
  <si>
    <t>Isha Joseph</t>
  </si>
  <si>
    <t>TXN000013</t>
  </si>
  <si>
    <t>Pos</t>
  </si>
  <si>
    <t>CUST00014</t>
  </si>
  <si>
    <t>Rahul Thomas</t>
  </si>
  <si>
    <t>TXN000014</t>
  </si>
  <si>
    <t>CUST00015</t>
  </si>
  <si>
    <t>Pooja Reddy</t>
  </si>
  <si>
    <t>TXN000015</t>
  </si>
  <si>
    <t>CUST00016</t>
  </si>
  <si>
    <t>Sanjay Verma</t>
  </si>
  <si>
    <t>TXN000016</t>
  </si>
  <si>
    <t>CUST00017</t>
  </si>
  <si>
    <t>Arun Menon</t>
  </si>
  <si>
    <t>TXN000017</t>
  </si>
  <si>
    <t>CUST00018</t>
  </si>
  <si>
    <t>Sneha Das</t>
  </si>
  <si>
    <t>TXN000018</t>
  </si>
  <si>
    <t>CUST00019</t>
  </si>
  <si>
    <t>Nikhil Verma</t>
  </si>
  <si>
    <t>TXN000019</t>
  </si>
  <si>
    <t>CUST00020</t>
  </si>
  <si>
    <t>Vivek Das</t>
  </si>
  <si>
    <t>TXN000020</t>
  </si>
  <si>
    <t>CUST00021</t>
  </si>
  <si>
    <t>Arun Nair</t>
  </si>
  <si>
    <t>TXN000021</t>
  </si>
  <si>
    <t>CUST00022</t>
  </si>
  <si>
    <t>Pooja Verma</t>
  </si>
  <si>
    <t>TXN000022</t>
  </si>
  <si>
    <t>CUST00023</t>
  </si>
  <si>
    <t>Kavya Das</t>
  </si>
  <si>
    <t>TXN000023</t>
  </si>
  <si>
    <t>CUST00024</t>
  </si>
  <si>
    <t>Meera Singh</t>
  </si>
  <si>
    <t>TXN000024</t>
  </si>
  <si>
    <t>CUST00025</t>
  </si>
  <si>
    <t>Manoj Thomas</t>
  </si>
  <si>
    <t>TXN000025</t>
  </si>
  <si>
    <t>CUST00026</t>
  </si>
  <si>
    <t>Rahul Kumar</t>
  </si>
  <si>
    <t>TXN000026</t>
  </si>
  <si>
    <t>CUST00027</t>
  </si>
  <si>
    <t>TXN000027</t>
  </si>
  <si>
    <t>CUST00028</t>
  </si>
  <si>
    <t>Ananya Patel</t>
  </si>
  <si>
    <t>TXN000028</t>
  </si>
  <si>
    <t>CUST00029</t>
  </si>
  <si>
    <t>Pooja Joseph</t>
  </si>
  <si>
    <t>TXN000029</t>
  </si>
  <si>
    <t>CUST00030</t>
  </si>
  <si>
    <t>TXN000030</t>
  </si>
  <si>
    <t>CUST00031</t>
  </si>
  <si>
    <t>Divya Patel</t>
  </si>
  <si>
    <t>TXN000031</t>
  </si>
  <si>
    <t>CUST00032</t>
  </si>
  <si>
    <t>TXN000032</t>
  </si>
  <si>
    <t>CUST00033</t>
  </si>
  <si>
    <t>Pooja Menon</t>
  </si>
  <si>
    <t>TXN000033</t>
  </si>
  <si>
    <t>CUST00034</t>
  </si>
  <si>
    <t>Rahul Sharma</t>
  </si>
  <si>
    <t>TXN000034</t>
  </si>
  <si>
    <t>CUST00035</t>
  </si>
  <si>
    <t>Rohan Sharma</t>
  </si>
  <si>
    <t>TXN000035</t>
  </si>
  <si>
    <t>CUST00036</t>
  </si>
  <si>
    <t>TXN000036</t>
  </si>
  <si>
    <t>CUST00037</t>
  </si>
  <si>
    <t>Nikhil Pillai</t>
  </si>
  <si>
    <t>TXN000037</t>
  </si>
  <si>
    <t>CUST00038</t>
  </si>
  <si>
    <t>Aditya Pillai</t>
  </si>
  <si>
    <t>TXN000038</t>
  </si>
  <si>
    <t>CUST00039</t>
  </si>
  <si>
    <t>Manoj Menon</t>
  </si>
  <si>
    <t>TXN000039</t>
  </si>
  <si>
    <t>CUST00040</t>
  </si>
  <si>
    <t>Kiran Sharma</t>
  </si>
  <si>
    <t>TXN000040</t>
  </si>
  <si>
    <t>CUST00041</t>
  </si>
  <si>
    <t>Aditya Singh</t>
  </si>
  <si>
    <t>TXN000041</t>
  </si>
  <si>
    <t>CUST00042</t>
  </si>
  <si>
    <t>Akhil Thomas</t>
  </si>
  <si>
    <t>TXN000042</t>
  </si>
  <si>
    <t>CUST00043</t>
  </si>
  <si>
    <t>Rohan Patel</t>
  </si>
  <si>
    <t>TXN000043</t>
  </si>
  <si>
    <t>CUST00044</t>
  </si>
  <si>
    <t>Rohan Das</t>
  </si>
  <si>
    <t>TXN000044</t>
  </si>
  <si>
    <t>CUST00045</t>
  </si>
  <si>
    <t>Divya Sharma</t>
  </si>
  <si>
    <t>TXN000045</t>
  </si>
  <si>
    <t>CUST00046</t>
  </si>
  <si>
    <t>Priya Joseph</t>
  </si>
  <si>
    <t>TXN000046</t>
  </si>
  <si>
    <t>CUST00047</t>
  </si>
  <si>
    <t>Kiran Thomas</t>
  </si>
  <si>
    <t>TXN000047</t>
  </si>
  <si>
    <t>CUST00048</t>
  </si>
  <si>
    <t>Asha Joseph</t>
  </si>
  <si>
    <t>TXN000048</t>
  </si>
  <si>
    <t>CUST00049</t>
  </si>
  <si>
    <t>Neha Menon</t>
  </si>
  <si>
    <t>TXN000049</t>
  </si>
  <si>
    <t>CUST00050</t>
  </si>
  <si>
    <t>Nikhil Kumar</t>
  </si>
  <si>
    <t>TXN000050</t>
  </si>
  <si>
    <t>CUST00051</t>
  </si>
  <si>
    <t>Sneha Joseph</t>
  </si>
  <si>
    <t>TXN000051</t>
  </si>
  <si>
    <t>CUST00052</t>
  </si>
  <si>
    <t>Rohan Reddy</t>
  </si>
  <si>
    <t>TXN000052</t>
  </si>
  <si>
    <t>CUST00053</t>
  </si>
  <si>
    <t>Kiran Reddy</t>
  </si>
  <si>
    <t>TXN000053</t>
  </si>
  <si>
    <t>CUST00054</t>
  </si>
  <si>
    <t>Sanjay Das</t>
  </si>
  <si>
    <t>TXN000054</t>
  </si>
  <si>
    <t>CUST00055</t>
  </si>
  <si>
    <t>Sanjay Joseph</t>
  </si>
  <si>
    <t>Yes</t>
  </si>
  <si>
    <t>TXN000055</t>
  </si>
  <si>
    <t>CUST00056</t>
  </si>
  <si>
    <t>Arun Das</t>
  </si>
  <si>
    <t>TXN000056</t>
  </si>
  <si>
    <t>CUST00057</t>
  </si>
  <si>
    <t>Pooja Pillai</t>
  </si>
  <si>
    <t>TXN000057</t>
  </si>
  <si>
    <t>CUST00058</t>
  </si>
  <si>
    <t>Sneha Nair</t>
  </si>
  <si>
    <t>TXN000058</t>
  </si>
  <si>
    <t>CUST00059</t>
  </si>
  <si>
    <t>Sanjay Thomas</t>
  </si>
  <si>
    <t>TXN000059</t>
  </si>
  <si>
    <t>CUST00060</t>
  </si>
  <si>
    <t>Neha Singh</t>
  </si>
  <si>
    <t>TXN000060</t>
  </si>
  <si>
    <t>CUST00061</t>
  </si>
  <si>
    <t>Priya Verma</t>
  </si>
  <si>
    <t>TXN000061</t>
  </si>
  <si>
    <t>CUST00062</t>
  </si>
  <si>
    <t>TXN000062</t>
  </si>
  <si>
    <t>CUST00063</t>
  </si>
  <si>
    <t>Asha Patel</t>
  </si>
  <si>
    <t>TXN000063</t>
  </si>
  <si>
    <t>CUST00064</t>
  </si>
  <si>
    <t>Manoj Joseph</t>
  </si>
  <si>
    <t>TXN000064</t>
  </si>
  <si>
    <t>CUST00065</t>
  </si>
  <si>
    <t>Kavya Joseph</t>
  </si>
  <si>
    <t>TXN000065</t>
  </si>
  <si>
    <t>CUST00066</t>
  </si>
  <si>
    <t>TXN000066</t>
  </si>
  <si>
    <t>CUST00067</t>
  </si>
  <si>
    <t>Divya Thomas</t>
  </si>
  <si>
    <t>TXN000067</t>
  </si>
  <si>
    <t>CUST00068</t>
  </si>
  <si>
    <t>Kavya Sharma</t>
  </si>
  <si>
    <t>TXN000068</t>
  </si>
  <si>
    <t>CUST00069</t>
  </si>
  <si>
    <t>TXN000069</t>
  </si>
  <si>
    <t>CUST00070</t>
  </si>
  <si>
    <t>Sneha Menon</t>
  </si>
  <si>
    <t>TXN000070</t>
  </si>
  <si>
    <t>CUST00071</t>
  </si>
  <si>
    <t>Rohan Menon</t>
  </si>
  <si>
    <t>TXN000071</t>
  </si>
  <si>
    <t>CUST00072</t>
  </si>
  <si>
    <t>Manoj Singh</t>
  </si>
  <si>
    <t>TXN000072</t>
  </si>
  <si>
    <t>CUST00073</t>
  </si>
  <si>
    <t>Aditya Thomas</t>
  </si>
  <si>
    <t>TXN000073</t>
  </si>
  <si>
    <t>CUST00074</t>
  </si>
  <si>
    <t>Divya Das</t>
  </si>
  <si>
    <t>TXN000074</t>
  </si>
  <si>
    <t>CUST00075</t>
  </si>
  <si>
    <t>Ananya Kumar</t>
  </si>
  <si>
    <t>TXN000075</t>
  </si>
  <si>
    <t>CUST00076</t>
  </si>
  <si>
    <t>Divya Kumar</t>
  </si>
  <si>
    <t>TXN000076</t>
  </si>
  <si>
    <t>CUST00077</t>
  </si>
  <si>
    <t>Kiran Kumar</t>
  </si>
  <si>
    <t>TXN000077</t>
  </si>
  <si>
    <t>CUST00078</t>
  </si>
  <si>
    <t>Arun Singh</t>
  </si>
  <si>
    <t>TXN000078</t>
  </si>
  <si>
    <t>CUST00079</t>
  </si>
  <si>
    <t>Meera Pillai</t>
  </si>
  <si>
    <t>TXN000079</t>
  </si>
  <si>
    <t>CUST00080</t>
  </si>
  <si>
    <t>TXN000080</t>
  </si>
  <si>
    <t>CUST00081</t>
  </si>
  <si>
    <t>TXN000081</t>
  </si>
  <si>
    <t>CUST00082</t>
  </si>
  <si>
    <t>Akhil Singh</t>
  </si>
  <si>
    <t>TXN000082</t>
  </si>
  <si>
    <t>CUST00083</t>
  </si>
  <si>
    <t>TXN000083</t>
  </si>
  <si>
    <t>CUST00084</t>
  </si>
  <si>
    <t>TXN000084</t>
  </si>
  <si>
    <t>CUST00085</t>
  </si>
  <si>
    <t>Nikhil Sharma</t>
  </si>
  <si>
    <t>TXN000085</t>
  </si>
  <si>
    <t>CUST00086</t>
  </si>
  <si>
    <t>TXN000086</t>
  </si>
  <si>
    <t>CUST00087</t>
  </si>
  <si>
    <t>TXN000087</t>
  </si>
  <si>
    <t>CUST00088</t>
  </si>
  <si>
    <t>TXN000088</t>
  </si>
  <si>
    <t>CUST00089</t>
  </si>
  <si>
    <t>TXN000089</t>
  </si>
  <si>
    <t>CUST00090</t>
  </si>
  <si>
    <t>Sanjay Sharma</t>
  </si>
  <si>
    <t>TXN000090</t>
  </si>
  <si>
    <t>CUST00091</t>
  </si>
  <si>
    <t>Arun Sharma</t>
  </si>
  <si>
    <t>TXN000091</t>
  </si>
  <si>
    <t>CUST00092</t>
  </si>
  <si>
    <t>Kiran Nair</t>
  </si>
  <si>
    <t>TXN000092</t>
  </si>
  <si>
    <t>CUST00093</t>
  </si>
  <si>
    <t>Asha Nair</t>
  </si>
  <si>
    <t>TXN000093</t>
  </si>
  <si>
    <t>CUST00094</t>
  </si>
  <si>
    <t>TXN000094</t>
  </si>
  <si>
    <t>CUST00095</t>
  </si>
  <si>
    <t>TXN000095</t>
  </si>
  <si>
    <t>CUST00096</t>
  </si>
  <si>
    <t>Rahul Verma</t>
  </si>
  <si>
    <t>TXN000096</t>
  </si>
  <si>
    <t>CUST00097</t>
  </si>
  <si>
    <t>Ananya Pillai</t>
  </si>
  <si>
    <t>TXN000097</t>
  </si>
  <si>
    <t>CUST00098</t>
  </si>
  <si>
    <t>TXN000098</t>
  </si>
  <si>
    <t>CUST00099</t>
  </si>
  <si>
    <t>Ananya Singh</t>
  </si>
  <si>
    <t>TXN000099</t>
  </si>
  <si>
    <t>CUST00100</t>
  </si>
  <si>
    <t>TXN000100</t>
  </si>
  <si>
    <t>CUST00101</t>
  </si>
  <si>
    <t>TXN000101</t>
  </si>
  <si>
    <t>CUST00102</t>
  </si>
  <si>
    <t>Kiran Singh</t>
  </si>
  <si>
    <t>TXN000102</t>
  </si>
  <si>
    <t>CUST00103</t>
  </si>
  <si>
    <t>Kiran Das</t>
  </si>
  <si>
    <t>TXN000103</t>
  </si>
  <si>
    <t>CUST00104</t>
  </si>
  <si>
    <t>Neha Thomas</t>
  </si>
  <si>
    <t>TXN000104</t>
  </si>
  <si>
    <t>CUST00105</t>
  </si>
  <si>
    <t>Priya Reddy</t>
  </si>
  <si>
    <t>TXN000105</t>
  </si>
  <si>
    <t>CUST00106</t>
  </si>
  <si>
    <t>Kavya Verma</t>
  </si>
  <si>
    <t>TXN000106</t>
  </si>
  <si>
    <t>CUST00107</t>
  </si>
  <si>
    <t>Isha Nair</t>
  </si>
  <si>
    <t>TXN000107</t>
  </si>
  <si>
    <t>CUST00108</t>
  </si>
  <si>
    <t>TXN000108</t>
  </si>
  <si>
    <t>CUST00109</t>
  </si>
  <si>
    <t>Arun Kumar</t>
  </si>
  <si>
    <t>TXN000109</t>
  </si>
  <si>
    <t>CUST00110</t>
  </si>
  <si>
    <t>Aditya Kumar</t>
  </si>
  <si>
    <t>TXN000110</t>
  </si>
  <si>
    <t>CUST00111</t>
  </si>
  <si>
    <t>Rohan Verma</t>
  </si>
  <si>
    <t>TXN000111</t>
  </si>
  <si>
    <t>CUST00112</t>
  </si>
  <si>
    <t>Isha Menon</t>
  </si>
  <si>
    <t>TXN000112</t>
  </si>
  <si>
    <t>CUST00113</t>
  </si>
  <si>
    <t>TXN000113</t>
  </si>
  <si>
    <t>CUST00114</t>
  </si>
  <si>
    <t>Aditya Sharma</t>
  </si>
  <si>
    <t>TXN000114</t>
  </si>
  <si>
    <t>CUST00115</t>
  </si>
  <si>
    <t>Meera Sharma</t>
  </si>
  <si>
    <t>TXN000115</t>
  </si>
  <si>
    <t>CUST00116</t>
  </si>
  <si>
    <t>Isha Patel</t>
  </si>
  <si>
    <t>TXN000116</t>
  </si>
  <si>
    <t>CUST00117</t>
  </si>
  <si>
    <t>Asha Singh</t>
  </si>
  <si>
    <t>TXN000117</t>
  </si>
  <si>
    <t>CUST00118</t>
  </si>
  <si>
    <t>TXN000118</t>
  </si>
  <si>
    <t>CUST00119</t>
  </si>
  <si>
    <t>Akhil Sharma</t>
  </si>
  <si>
    <t>TXN000119</t>
  </si>
  <si>
    <t>CUST00120</t>
  </si>
  <si>
    <t>TXN000120</t>
  </si>
  <si>
    <t>CUST00121</t>
  </si>
  <si>
    <t>Nikhil Thomas</t>
  </si>
  <si>
    <t>TXN000121</t>
  </si>
  <si>
    <t>CUST00122</t>
  </si>
  <si>
    <t>Priya Thomas</t>
  </si>
  <si>
    <t>TXN000122</t>
  </si>
  <si>
    <t>CUST00123</t>
  </si>
  <si>
    <t>Manoj Patel</t>
  </si>
  <si>
    <t>TXN000123</t>
  </si>
  <si>
    <t>CUST00124</t>
  </si>
  <si>
    <t>Isha Sharma</t>
  </si>
  <si>
    <t>TXN000124</t>
  </si>
  <si>
    <t>CUST00125</t>
  </si>
  <si>
    <t>Aditya Verma</t>
  </si>
  <si>
    <t>TXN000125</t>
  </si>
  <si>
    <t>CUST00126</t>
  </si>
  <si>
    <t>Sanjay Reddy</t>
  </si>
  <si>
    <t>TXN000126</t>
  </si>
  <si>
    <t>CUST00127</t>
  </si>
  <si>
    <t>Asha Menon</t>
  </si>
  <si>
    <t>TXN000127</t>
  </si>
  <si>
    <t>CUST00128</t>
  </si>
  <si>
    <t>TXN000128</t>
  </si>
  <si>
    <t>CUST00129</t>
  </si>
  <si>
    <t>Akhil Menon</t>
  </si>
  <si>
    <t>TXN000129</t>
  </si>
  <si>
    <t>CUST00130</t>
  </si>
  <si>
    <t>Arun Pillai</t>
  </si>
  <si>
    <t>TXN000130</t>
  </si>
  <si>
    <t>CUST00131</t>
  </si>
  <si>
    <t>TXN000131</t>
  </si>
  <si>
    <t>CUST00132</t>
  </si>
  <si>
    <t>TXN000132</t>
  </si>
  <si>
    <t>CUST00133</t>
  </si>
  <si>
    <t>Akhil Reddy</t>
  </si>
  <si>
    <t>TXN000133</t>
  </si>
  <si>
    <t>CUST00134</t>
  </si>
  <si>
    <t>Sanjay Nair</t>
  </si>
  <si>
    <t>TXN000134</t>
  </si>
  <si>
    <t>CUST00135</t>
  </si>
  <si>
    <t>TXN000135</t>
  </si>
  <si>
    <t>CUST00136</t>
  </si>
  <si>
    <t>TXN000136</t>
  </si>
  <si>
    <t>CUST00137</t>
  </si>
  <si>
    <t>TXN000137</t>
  </si>
  <si>
    <t>CUST00138</t>
  </si>
  <si>
    <t>TXN000138</t>
  </si>
  <si>
    <t>CUST00139</t>
  </si>
  <si>
    <t>TXN000139</t>
  </si>
  <si>
    <t>CUST00140</t>
  </si>
  <si>
    <t>Nikhil Das</t>
  </si>
  <si>
    <t>TXN000140</t>
  </si>
  <si>
    <t>CUST00141</t>
  </si>
  <si>
    <t>TXN000141</t>
  </si>
  <si>
    <t>CUST00142</t>
  </si>
  <si>
    <t>Isha Das</t>
  </si>
  <si>
    <t>TXN000142</t>
  </si>
  <si>
    <t>CUST00143</t>
  </si>
  <si>
    <t>TXN000143</t>
  </si>
  <si>
    <t>CUST00144</t>
  </si>
  <si>
    <t>TXN000144</t>
  </si>
  <si>
    <t>CUST00145</t>
  </si>
  <si>
    <t>TXN000145</t>
  </si>
  <si>
    <t>CUST00146</t>
  </si>
  <si>
    <t>Priya Pillai</t>
  </si>
  <si>
    <t>TXN000146</t>
  </si>
  <si>
    <t>CUST00147</t>
  </si>
  <si>
    <t>Neha Sharma</t>
  </si>
  <si>
    <t>TXN000147</t>
  </si>
  <si>
    <t>CUST00148</t>
  </si>
  <si>
    <t>Unknown</t>
  </si>
  <si>
    <t>TXN000148</t>
  </si>
  <si>
    <t>CUST00149</t>
  </si>
  <si>
    <t>Vivek Joseph</t>
  </si>
  <si>
    <t>TXN000149</t>
  </si>
  <si>
    <t>CUST00150</t>
  </si>
  <si>
    <t>TXN000150</t>
  </si>
  <si>
    <t>CUST00151</t>
  </si>
  <si>
    <t>Rahul Joseph</t>
  </si>
  <si>
    <t>TXN000151</t>
  </si>
  <si>
    <t>CUST00152</t>
  </si>
  <si>
    <t>TXN000152</t>
  </si>
  <si>
    <t>CUST00153</t>
  </si>
  <si>
    <t>TXN000153</t>
  </si>
  <si>
    <t>CUST00154</t>
  </si>
  <si>
    <t>TXN000154</t>
  </si>
  <si>
    <t>CUST00155</t>
  </si>
  <si>
    <t>TXN000155</t>
  </si>
  <si>
    <t>CUST00156</t>
  </si>
  <si>
    <t>Aditya Reddy</t>
  </si>
  <si>
    <t>TXN000156</t>
  </si>
  <si>
    <t>CUST00157</t>
  </si>
  <si>
    <t>Akhil Kumar</t>
  </si>
  <si>
    <t>TXN000157</t>
  </si>
  <si>
    <t>CUST00158</t>
  </si>
  <si>
    <t>Sanjay Patel</t>
  </si>
  <si>
    <t>TXN000158</t>
  </si>
  <si>
    <t>CUST00159</t>
  </si>
  <si>
    <t>TXN000159</t>
  </si>
  <si>
    <t>CUST00160</t>
  </si>
  <si>
    <t>TXN000160</t>
  </si>
  <si>
    <t>CUST00161</t>
  </si>
  <si>
    <t>Kavya Nair</t>
  </si>
  <si>
    <t>TXN000161</t>
  </si>
  <si>
    <t>CUST00162</t>
  </si>
  <si>
    <t>Rahul Nair</t>
  </si>
  <si>
    <t>TXN000162</t>
  </si>
  <si>
    <t>CUST00163</t>
  </si>
  <si>
    <t>TXN000163</t>
  </si>
  <si>
    <t>CUST00164</t>
  </si>
  <si>
    <t>TXN000164</t>
  </si>
  <si>
    <t>CUST00165</t>
  </si>
  <si>
    <t>TXN000165</t>
  </si>
  <si>
    <t>CUST00166</t>
  </si>
  <si>
    <t>TXN000166</t>
  </si>
  <si>
    <t>CUST00167</t>
  </si>
  <si>
    <t>Rohan Pillai</t>
  </si>
  <si>
    <t>TXN000167</t>
  </si>
  <si>
    <t>CUST00168</t>
  </si>
  <si>
    <t>Kiran Patel</t>
  </si>
  <si>
    <t>TXN000168</t>
  </si>
  <si>
    <t>CUST00169</t>
  </si>
  <si>
    <t>Akhil Verma</t>
  </si>
  <si>
    <t>TXN000169</t>
  </si>
  <si>
    <t>CUST00170</t>
  </si>
  <si>
    <t>Kavya Thomas</t>
  </si>
  <si>
    <t>TXN000170</t>
  </si>
  <si>
    <t>CUST00171</t>
  </si>
  <si>
    <t>Kiran Menon</t>
  </si>
  <si>
    <t>TXN000171</t>
  </si>
  <si>
    <t>CUST00172</t>
  </si>
  <si>
    <t>TXN000172</t>
  </si>
  <si>
    <t>CUST00173</t>
  </si>
  <si>
    <t>TXN000173</t>
  </si>
  <si>
    <t>CUST00174</t>
  </si>
  <si>
    <t>TXN000174</t>
  </si>
  <si>
    <t>CUST00175</t>
  </si>
  <si>
    <t>Ananya Verma</t>
  </si>
  <si>
    <t>TXN000175</t>
  </si>
  <si>
    <t>CUST00176</t>
  </si>
  <si>
    <t>Asha Reddy</t>
  </si>
  <si>
    <t>TXN000176</t>
  </si>
  <si>
    <t>CUST00177</t>
  </si>
  <si>
    <t>Rahul Reddy</t>
  </si>
  <si>
    <t>TXN000177</t>
  </si>
  <si>
    <t>CUST00178</t>
  </si>
  <si>
    <t>TXN000178</t>
  </si>
  <si>
    <t>CUST00179</t>
  </si>
  <si>
    <t>Vivek Singh</t>
  </si>
  <si>
    <t>TXN000179</t>
  </si>
  <si>
    <t>CUST00180</t>
  </si>
  <si>
    <t>Sneha Kumar</t>
  </si>
  <si>
    <t>TXN000180</t>
  </si>
  <si>
    <t>CUST00181</t>
  </si>
  <si>
    <t>TXN000181</t>
  </si>
  <si>
    <t>CUST00182</t>
  </si>
  <si>
    <t>TXN000182</t>
  </si>
  <si>
    <t>CUST00183</t>
  </si>
  <si>
    <t>Kavya Menon</t>
  </si>
  <si>
    <t>TXN000183</t>
  </si>
  <si>
    <t>CUST00184</t>
  </si>
  <si>
    <t>TXN000184</t>
  </si>
  <si>
    <t>CUST00185</t>
  </si>
  <si>
    <t>Divya Reddy</t>
  </si>
  <si>
    <t>TXN000185</t>
  </si>
  <si>
    <t>CUST00186</t>
  </si>
  <si>
    <t>Nikhil Reddy</t>
  </si>
  <si>
    <t>TXN000186</t>
  </si>
  <si>
    <t>CUST00187</t>
  </si>
  <si>
    <t>Sanjay Kumar</t>
  </si>
  <si>
    <t>TXN000187</t>
  </si>
  <si>
    <t>CUST00188</t>
  </si>
  <si>
    <t>Rohan Thomas</t>
  </si>
  <si>
    <t>TXN000188</t>
  </si>
  <si>
    <t>CUST00189</t>
  </si>
  <si>
    <t>Asha Sharma</t>
  </si>
  <si>
    <t>TXN000189</t>
  </si>
  <si>
    <t>CUST00190</t>
  </si>
  <si>
    <t>TXN000190</t>
  </si>
  <si>
    <t>CUST00191</t>
  </si>
  <si>
    <t>TXN000191</t>
  </si>
  <si>
    <t>CUST00192</t>
  </si>
  <si>
    <t>Manoj Reddy</t>
  </si>
  <si>
    <t>TXN000192</t>
  </si>
  <si>
    <t>CUST00193</t>
  </si>
  <si>
    <t>TXN000193</t>
  </si>
  <si>
    <t>CUST00194</t>
  </si>
  <si>
    <t>Sneha Reddy</t>
  </si>
  <si>
    <t>TXN000194</t>
  </si>
  <si>
    <t>CUST00195</t>
  </si>
  <si>
    <t>TXN000195</t>
  </si>
  <si>
    <t>CUST00196</t>
  </si>
  <si>
    <t>Ananya Nair</t>
  </si>
  <si>
    <t>TXN000196</t>
  </si>
  <si>
    <t>CUST00197</t>
  </si>
  <si>
    <t>Neha Reddy</t>
  </si>
  <si>
    <t>TXN000197</t>
  </si>
  <si>
    <t>CUST00198</t>
  </si>
  <si>
    <t>TXN000198</t>
  </si>
  <si>
    <t>CUST00199</t>
  </si>
  <si>
    <t>TXN000199</t>
  </si>
  <si>
    <t>CUST00200</t>
  </si>
  <si>
    <t>Rahul Singh</t>
  </si>
  <si>
    <t>TXN000200</t>
  </si>
  <si>
    <t>CUST00201</t>
  </si>
  <si>
    <t>Priya Singh</t>
  </si>
  <si>
    <t>TXN000201</t>
  </si>
  <si>
    <t>CUST00202</t>
  </si>
  <si>
    <t>TXN000202</t>
  </si>
  <si>
    <t>CUST00203</t>
  </si>
  <si>
    <t>TXN000203</t>
  </si>
  <si>
    <t>CUST00204</t>
  </si>
  <si>
    <t>Pooja Das</t>
  </si>
  <si>
    <t>TXN000204</t>
  </si>
  <si>
    <t>CUST00205</t>
  </si>
  <si>
    <t>TXN000205</t>
  </si>
  <si>
    <t>CUST00206</t>
  </si>
  <si>
    <t>TXN000206</t>
  </si>
  <si>
    <t>CUST00207</t>
  </si>
  <si>
    <t>TXN000207</t>
  </si>
  <si>
    <t>CUST00208</t>
  </si>
  <si>
    <t>Sanjay Pillai</t>
  </si>
  <si>
    <t>TXN000208</t>
  </si>
  <si>
    <t>CUST00209</t>
  </si>
  <si>
    <t>TXN000209</t>
  </si>
  <si>
    <t>CUST00210</t>
  </si>
  <si>
    <t>TXN000210</t>
  </si>
  <si>
    <t>CUST00211</t>
  </si>
  <si>
    <t>Isha Pillai</t>
  </si>
  <si>
    <t>TXN000211</t>
  </si>
  <si>
    <t>CUST00212</t>
  </si>
  <si>
    <t>TXN000212</t>
  </si>
  <si>
    <t>CUST00213</t>
  </si>
  <si>
    <t>Sneha Verma</t>
  </si>
  <si>
    <t>TXN000213</t>
  </si>
  <si>
    <t>CUST00214</t>
  </si>
  <si>
    <t>TXN000214</t>
  </si>
  <si>
    <t>CUST00215</t>
  </si>
  <si>
    <t>Isha Singh</t>
  </si>
  <si>
    <t>TXN000215</t>
  </si>
  <si>
    <t>CUST00216</t>
  </si>
  <si>
    <t>Akhil Joseph</t>
  </si>
  <si>
    <t>TXN000216</t>
  </si>
  <si>
    <t>CUST00217</t>
  </si>
  <si>
    <t>Neha Joseph</t>
  </si>
  <si>
    <t>TXN000217</t>
  </si>
  <si>
    <t>CUST00218</t>
  </si>
  <si>
    <t>TXN000218</t>
  </si>
  <si>
    <t>CUST00219</t>
  </si>
  <si>
    <t>Asha Pillai</t>
  </si>
  <si>
    <t>TXN000219</t>
  </si>
  <si>
    <t>CUST00220</t>
  </si>
  <si>
    <t>TXN000220</t>
  </si>
  <si>
    <t>CUST00221</t>
  </si>
  <si>
    <t>Aditya Nair</t>
  </si>
  <si>
    <t>TXN000221</t>
  </si>
  <si>
    <t>CUST00222</t>
  </si>
  <si>
    <t>Nikhil Joseph</t>
  </si>
  <si>
    <t>TXN000222</t>
  </si>
  <si>
    <t>CUST00223</t>
  </si>
  <si>
    <t>Akhil Patel</t>
  </si>
  <si>
    <t>TXN000223</t>
  </si>
  <si>
    <t>CUST00224</t>
  </si>
  <si>
    <t>TXN000224</t>
  </si>
  <si>
    <t>CUST00225</t>
  </si>
  <si>
    <t>Kiran Verma</t>
  </si>
  <si>
    <t>TXN000225</t>
  </si>
  <si>
    <t>CUST00226</t>
  </si>
  <si>
    <t>TXN000226</t>
  </si>
  <si>
    <t>CUST00227</t>
  </si>
  <si>
    <t>TXN000227</t>
  </si>
  <si>
    <t>CUST00228</t>
  </si>
  <si>
    <t>TXN000228</t>
  </si>
  <si>
    <t>CUST00229</t>
  </si>
  <si>
    <t>TXN000229</t>
  </si>
  <si>
    <t>CUST00230</t>
  </si>
  <si>
    <t>TXN000230</t>
  </si>
  <si>
    <t>CUST00231</t>
  </si>
  <si>
    <t>TXN000231</t>
  </si>
  <si>
    <t>CUST00232</t>
  </si>
  <si>
    <t>TXN000232</t>
  </si>
  <si>
    <t>CUST00233</t>
  </si>
  <si>
    <t>TXN000233</t>
  </si>
  <si>
    <t>CUST00234</t>
  </si>
  <si>
    <t>TXN000234</t>
  </si>
  <si>
    <t>CUST00235</t>
  </si>
  <si>
    <t>TXN000235</t>
  </si>
  <si>
    <t>CUST00236</t>
  </si>
  <si>
    <t>TXN000236</t>
  </si>
  <si>
    <t>CUST00237</t>
  </si>
  <si>
    <t>Divya Joseph</t>
  </si>
  <si>
    <t>TXN000237</t>
  </si>
  <si>
    <t>CUST00238</t>
  </si>
  <si>
    <t>TXN000238</t>
  </si>
  <si>
    <t>CUST00239</t>
  </si>
  <si>
    <t>TXN000239</t>
  </si>
  <si>
    <t>CUST00240</t>
  </si>
  <si>
    <t>TXN000240</t>
  </si>
  <si>
    <t>CUST00241</t>
  </si>
  <si>
    <t>TXN000241</t>
  </si>
  <si>
    <t>CUST00242</t>
  </si>
  <si>
    <t>Meera Reddy</t>
  </si>
  <si>
    <t>TXN000242</t>
  </si>
  <si>
    <t>CUST00243</t>
  </si>
  <si>
    <t>TXN000243</t>
  </si>
  <si>
    <t>CUST00244</t>
  </si>
  <si>
    <t>Kavya Reddy</t>
  </si>
  <si>
    <t>TXN000244</t>
  </si>
  <si>
    <t>CUST00245</t>
  </si>
  <si>
    <t>TXN000245</t>
  </si>
  <si>
    <t>CUST00246</t>
  </si>
  <si>
    <t>TXN000246</t>
  </si>
  <si>
    <t>CUST00247</t>
  </si>
  <si>
    <t>TXN000247</t>
  </si>
  <si>
    <t>CUST00248</t>
  </si>
  <si>
    <t>TXN000248</t>
  </si>
  <si>
    <t>CUST00249</t>
  </si>
  <si>
    <t>Ananya Das</t>
  </si>
  <si>
    <t>TXN000249</t>
  </si>
  <si>
    <t>CUST00250</t>
  </si>
  <si>
    <t>TXN000250</t>
  </si>
  <si>
    <t>CUST00251</t>
  </si>
  <si>
    <t>TXN000251</t>
  </si>
  <si>
    <t>CUST00252</t>
  </si>
  <si>
    <t>Pooja Singh</t>
  </si>
  <si>
    <t>TXN000252</t>
  </si>
  <si>
    <t>CUST00253</t>
  </si>
  <si>
    <t>TXN000253</t>
  </si>
  <si>
    <t>CUST00254</t>
  </si>
  <si>
    <t>Divya Verma</t>
  </si>
  <si>
    <t>TXN000254</t>
  </si>
  <si>
    <t>CUST00255</t>
  </si>
  <si>
    <t>Divya Pillai</t>
  </si>
  <si>
    <t>TXN000255</t>
  </si>
  <si>
    <t>CUST00256</t>
  </si>
  <si>
    <t>TXN000256</t>
  </si>
  <si>
    <t>CUST00257</t>
  </si>
  <si>
    <t>Vivek Reddy</t>
  </si>
  <si>
    <t>TXN000257</t>
  </si>
  <si>
    <t>CUST00258</t>
  </si>
  <si>
    <t>TXN000258</t>
  </si>
  <si>
    <t>CUST00259</t>
  </si>
  <si>
    <t>TXN000259</t>
  </si>
  <si>
    <t>CUST00260</t>
  </si>
  <si>
    <t>TXN000260</t>
  </si>
  <si>
    <t>CUST00261</t>
  </si>
  <si>
    <t>TXN000261</t>
  </si>
  <si>
    <t>CUST00262</t>
  </si>
  <si>
    <t>TXN000262</t>
  </si>
  <si>
    <t>CUST00263</t>
  </si>
  <si>
    <t>Ananya Joseph</t>
  </si>
  <si>
    <t>TXN000263</t>
  </si>
  <si>
    <t>CUST00264</t>
  </si>
  <si>
    <t>TXN000264</t>
  </si>
  <si>
    <t>CUST00265</t>
  </si>
  <si>
    <t>Vivek Pillai</t>
  </si>
  <si>
    <t>TXN000265</t>
  </si>
  <si>
    <t>CUST00266</t>
  </si>
  <si>
    <t>TXN000266</t>
  </si>
  <si>
    <t>CUST00267</t>
  </si>
  <si>
    <t>TXN000267</t>
  </si>
  <si>
    <t>CUST00268</t>
  </si>
  <si>
    <t>TXN000268</t>
  </si>
  <si>
    <t>CUST00269</t>
  </si>
  <si>
    <t>TXN000269</t>
  </si>
  <si>
    <t>CUST00270</t>
  </si>
  <si>
    <t>Isha Reddy</t>
  </si>
  <si>
    <t>TXN000270</t>
  </si>
  <si>
    <t>CUST00271</t>
  </si>
  <si>
    <t>Pooja Patel</t>
  </si>
  <si>
    <t>TXN000271</t>
  </si>
  <si>
    <t>CUST00272</t>
  </si>
  <si>
    <t>Aditya Das</t>
  </si>
  <si>
    <t>TXN000272</t>
  </si>
  <si>
    <t>CUST00273</t>
  </si>
  <si>
    <t>TXN000273</t>
  </si>
  <si>
    <t>CUST00274</t>
  </si>
  <si>
    <t>TXN000274</t>
  </si>
  <si>
    <t>CUST00275</t>
  </si>
  <si>
    <t>Pooja Thomas</t>
  </si>
  <si>
    <t>TXN000275</t>
  </si>
  <si>
    <t>CUST00276</t>
  </si>
  <si>
    <t>Ananya Reddy</t>
  </si>
  <si>
    <t>TXN000276</t>
  </si>
  <si>
    <t>CUST00277</t>
  </si>
  <si>
    <t>Sneha Sharma</t>
  </si>
  <si>
    <t>TXN000277</t>
  </si>
  <si>
    <t>CUST00278</t>
  </si>
  <si>
    <t>TXN000278</t>
  </si>
  <si>
    <t>CUST00279</t>
  </si>
  <si>
    <t>TXN000279</t>
  </si>
  <si>
    <t>CUST00280</t>
  </si>
  <si>
    <t>TXN000280</t>
  </si>
  <si>
    <t>CUST00281</t>
  </si>
  <si>
    <t>TXN000281</t>
  </si>
  <si>
    <t>CUST00282</t>
  </si>
  <si>
    <t>TXN000282</t>
  </si>
  <si>
    <t>CUST00283</t>
  </si>
  <si>
    <t>TXN000283</t>
  </si>
  <si>
    <t>CUST00284</t>
  </si>
  <si>
    <t>TXN000284</t>
  </si>
  <si>
    <t>CUST00285</t>
  </si>
  <si>
    <t>Manoj Pillai</t>
  </si>
  <si>
    <t>TXN000285</t>
  </si>
  <si>
    <t>CUST00286</t>
  </si>
  <si>
    <t>TXN000286</t>
  </si>
  <si>
    <t>CUST00287</t>
  </si>
  <si>
    <t>Akhil Das</t>
  </si>
  <si>
    <t>TXN000287</t>
  </si>
  <si>
    <t>CUST00288</t>
  </si>
  <si>
    <t>TXN000288</t>
  </si>
  <si>
    <t>CUST00289</t>
  </si>
  <si>
    <t>TXN000289</t>
  </si>
  <si>
    <t>CUST00290</t>
  </si>
  <si>
    <t>TXN000290</t>
  </si>
  <si>
    <t>CUST00291</t>
  </si>
  <si>
    <t>TXN000291</t>
  </si>
  <si>
    <t>CUST00292</t>
  </si>
  <si>
    <t>Rohan Joseph</t>
  </si>
  <si>
    <t>TXN000292</t>
  </si>
  <si>
    <t>CUST00293</t>
  </si>
  <si>
    <t>TXN000293</t>
  </si>
  <si>
    <t>CUST00294</t>
  </si>
  <si>
    <t>TXN000294</t>
  </si>
  <si>
    <t>CUST00295</t>
  </si>
  <si>
    <t>TXN000295</t>
  </si>
  <si>
    <t>CUST00296</t>
  </si>
  <si>
    <t>Rahul Pillai</t>
  </si>
  <si>
    <t>TXN000296</t>
  </si>
  <si>
    <t>CUST00297</t>
  </si>
  <si>
    <t>TXN000297</t>
  </si>
  <si>
    <t>CUST00298</t>
  </si>
  <si>
    <t>TXN000298</t>
  </si>
  <si>
    <t>CUST00299</t>
  </si>
  <si>
    <t>TXN000299</t>
  </si>
  <si>
    <t>CUST00300</t>
  </si>
  <si>
    <t>TXN000300</t>
  </si>
  <si>
    <t>CUST00301</t>
  </si>
  <si>
    <t>TXN000301</t>
  </si>
  <si>
    <t>CUST00302</t>
  </si>
  <si>
    <t>TXN000302</t>
  </si>
  <si>
    <t>CUST00303</t>
  </si>
  <si>
    <t>Sneha Thomas</t>
  </si>
  <si>
    <t>TXN000303</t>
  </si>
  <si>
    <t>CUST00304</t>
  </si>
  <si>
    <t>TXN000304</t>
  </si>
  <si>
    <t>CUST00305</t>
  </si>
  <si>
    <t>TXN000305</t>
  </si>
  <si>
    <t>CUST00306</t>
  </si>
  <si>
    <t>Priya Sharma</t>
  </si>
  <si>
    <t>TXN000306</t>
  </si>
  <si>
    <t>CUST00307</t>
  </si>
  <si>
    <t>TXN000307</t>
  </si>
  <si>
    <t>CUST00308</t>
  </si>
  <si>
    <t>Nikhil Nair</t>
  </si>
  <si>
    <t>TXN000308</t>
  </si>
  <si>
    <t>CUST00309</t>
  </si>
  <si>
    <t>TXN000309</t>
  </si>
  <si>
    <t>CUST00310</t>
  </si>
  <si>
    <t>TXN000310</t>
  </si>
  <si>
    <t>CUST00311</t>
  </si>
  <si>
    <t>TXN000311</t>
  </si>
  <si>
    <t>CUST00312</t>
  </si>
  <si>
    <t>TXN000312</t>
  </si>
  <si>
    <t>CUST00313</t>
  </si>
  <si>
    <t>Vivek Thomas</t>
  </si>
  <si>
    <t>TXN000313</t>
  </si>
  <si>
    <t>CUST00314</t>
  </si>
  <si>
    <t>TXN000314</t>
  </si>
  <si>
    <t>CUST00315</t>
  </si>
  <si>
    <t>TXN000315</t>
  </si>
  <si>
    <t>CUST00316</t>
  </si>
  <si>
    <t>TXN000316</t>
  </si>
  <si>
    <t>CUST00317</t>
  </si>
  <si>
    <t>Meera Das</t>
  </si>
  <si>
    <t>TXN000317</t>
  </si>
  <si>
    <t>CUST00318</t>
  </si>
  <si>
    <t>TXN000318</t>
  </si>
  <si>
    <t>CUST00319</t>
  </si>
  <si>
    <t>TXN000319</t>
  </si>
  <si>
    <t>CUST00320</t>
  </si>
  <si>
    <t>TXN000320</t>
  </si>
  <si>
    <t>CUST00321</t>
  </si>
  <si>
    <t>TXN000321</t>
  </si>
  <si>
    <t>CUST00322</t>
  </si>
  <si>
    <t>TXN000322</t>
  </si>
  <si>
    <t>CUST00323</t>
  </si>
  <si>
    <t>TXN000323</t>
  </si>
  <si>
    <t>CUST00324</t>
  </si>
  <si>
    <t>TXN000324</t>
  </si>
  <si>
    <t>CUST00325</t>
  </si>
  <si>
    <t>TXN000325</t>
  </si>
  <si>
    <t>CUST00326</t>
  </si>
  <si>
    <t>TXN000326</t>
  </si>
  <si>
    <t>CUST00327</t>
  </si>
  <si>
    <t>TXN000327</t>
  </si>
  <si>
    <t>CUST00328</t>
  </si>
  <si>
    <t>TXN000328</t>
  </si>
  <si>
    <t>CUST00329</t>
  </si>
  <si>
    <t>Priya Patel</t>
  </si>
  <si>
    <t>TXN000329</t>
  </si>
  <si>
    <t>CUST00330</t>
  </si>
  <si>
    <t>Pooja Nair</t>
  </si>
  <si>
    <t>TXN000330</t>
  </si>
  <si>
    <t>CUST00331</t>
  </si>
  <si>
    <t>TXN000331</t>
  </si>
  <si>
    <t>CUST00332</t>
  </si>
  <si>
    <t>TXN000332</t>
  </si>
  <si>
    <t>CUST00333</t>
  </si>
  <si>
    <t>Neha Patel</t>
  </si>
  <si>
    <t>TXN000333</t>
  </si>
  <si>
    <t>CUST00334</t>
  </si>
  <si>
    <t>TXN000334</t>
  </si>
  <si>
    <t>CUST00335</t>
  </si>
  <si>
    <t>TXN000335</t>
  </si>
  <si>
    <t>CUST00336</t>
  </si>
  <si>
    <t>Priya Das</t>
  </si>
  <si>
    <t>TXN000336</t>
  </si>
  <si>
    <t>CUST00337</t>
  </si>
  <si>
    <t>TXN000337</t>
  </si>
  <si>
    <t>CUST00338</t>
  </si>
  <si>
    <t>TXN000338</t>
  </si>
  <si>
    <t>CUST00339</t>
  </si>
  <si>
    <t>TXN000339</t>
  </si>
  <si>
    <t>CUST00340</t>
  </si>
  <si>
    <t>TXN000340</t>
  </si>
  <si>
    <t>CUST00341</t>
  </si>
  <si>
    <t>TXN000341</t>
  </si>
  <si>
    <t>CUST00342</t>
  </si>
  <si>
    <t>Sneha Pillai</t>
  </si>
  <si>
    <t>TXN000342</t>
  </si>
  <si>
    <t>CUST00343</t>
  </si>
  <si>
    <t>TXN000343</t>
  </si>
  <si>
    <t>CUST00344</t>
  </si>
  <si>
    <t>TXN000344</t>
  </si>
  <si>
    <t>CUST00345</t>
  </si>
  <si>
    <t>TXN000345</t>
  </si>
  <si>
    <t>CUST00346</t>
  </si>
  <si>
    <t>TXN000346</t>
  </si>
  <si>
    <t>CUST00347</t>
  </si>
  <si>
    <t>Akhil Nair</t>
  </si>
  <si>
    <t>TXN000347</t>
  </si>
  <si>
    <t>CUST00348</t>
  </si>
  <si>
    <t>TXN000348</t>
  </si>
  <si>
    <t>CUST00349</t>
  </si>
  <si>
    <t>Aditya Joseph</t>
  </si>
  <si>
    <t>TXN000349</t>
  </si>
  <si>
    <t>CUST00350</t>
  </si>
  <si>
    <t>TXN000350</t>
  </si>
  <si>
    <t>CUST00351</t>
  </si>
  <si>
    <t>TXN000351</t>
  </si>
  <si>
    <t>CUST00352</t>
  </si>
  <si>
    <t>Aditya Menon</t>
  </si>
  <si>
    <t>TXN000352</t>
  </si>
  <si>
    <t>CUST00353</t>
  </si>
  <si>
    <t>TXN000353</t>
  </si>
  <si>
    <t>CUST00354</t>
  </si>
  <si>
    <t>Sneha Singh</t>
  </si>
  <si>
    <t>TXN000354</t>
  </si>
  <si>
    <t>CUST00355</t>
  </si>
  <si>
    <t>TXN000355</t>
  </si>
  <si>
    <t>CUST00356</t>
  </si>
  <si>
    <t>TXN000356</t>
  </si>
  <si>
    <t>CUST00357</t>
  </si>
  <si>
    <t>Arun Thomas</t>
  </si>
  <si>
    <t>TXN000357</t>
  </si>
  <si>
    <t>CUST00358</t>
  </si>
  <si>
    <t>TXN000358</t>
  </si>
  <si>
    <t>CUST00359</t>
  </si>
  <si>
    <t>TXN000359</t>
  </si>
  <si>
    <t>CUST00360</t>
  </si>
  <si>
    <t>TXN000360</t>
  </si>
  <si>
    <t>CUST00361</t>
  </si>
  <si>
    <t>TXN000361</t>
  </si>
  <si>
    <t>CUST00362</t>
  </si>
  <si>
    <t>TXN000362</t>
  </si>
  <si>
    <t>CUST00363</t>
  </si>
  <si>
    <t>TXN000363</t>
  </si>
  <si>
    <t>CUST00364</t>
  </si>
  <si>
    <t>TXN000364</t>
  </si>
  <si>
    <t>CUST00365</t>
  </si>
  <si>
    <t>TXN000365</t>
  </si>
  <si>
    <t>CUST00366</t>
  </si>
  <si>
    <t>TXN000366</t>
  </si>
  <si>
    <t>CUST00367</t>
  </si>
  <si>
    <t>TXN000367</t>
  </si>
  <si>
    <t>CUST00368</t>
  </si>
  <si>
    <t>Asha Thomas</t>
  </si>
  <si>
    <t>TXN000368</t>
  </si>
  <si>
    <t>CUST00369</t>
  </si>
  <si>
    <t>TXN000369</t>
  </si>
  <si>
    <t>CUST00370</t>
  </si>
  <si>
    <t>Divya Menon</t>
  </si>
  <si>
    <t>TXN000370</t>
  </si>
  <si>
    <t>CUST00371</t>
  </si>
  <si>
    <t>TXN000371</t>
  </si>
  <si>
    <t>CUST00372</t>
  </si>
  <si>
    <t>Sanjay Singh</t>
  </si>
  <si>
    <t>TXN000372</t>
  </si>
  <si>
    <t>CUST00373</t>
  </si>
  <si>
    <t>TXN000373</t>
  </si>
  <si>
    <t>CUST00374</t>
  </si>
  <si>
    <t>TXN000374</t>
  </si>
  <si>
    <t>CUST00375</t>
  </si>
  <si>
    <t>Neha Nair</t>
  </si>
  <si>
    <t>TXN000375</t>
  </si>
  <si>
    <t>CUST00376</t>
  </si>
  <si>
    <t>TXN000376</t>
  </si>
  <si>
    <t>CUST00377</t>
  </si>
  <si>
    <t>TXN000377</t>
  </si>
  <si>
    <t>CUST00378</t>
  </si>
  <si>
    <t>TXN000378</t>
  </si>
  <si>
    <t>CUST00379</t>
  </si>
  <si>
    <t>TXN000379</t>
  </si>
  <si>
    <t>CUST00380</t>
  </si>
  <si>
    <t>TXN000380</t>
  </si>
  <si>
    <t>CUST00381</t>
  </si>
  <si>
    <t>TXN000381</t>
  </si>
  <si>
    <t>CUST00382</t>
  </si>
  <si>
    <t>TXN000382</t>
  </si>
  <si>
    <t>CUST00383</t>
  </si>
  <si>
    <t>Arun Joseph</t>
  </si>
  <si>
    <t>TXN000383</t>
  </si>
  <si>
    <t>CUST00384</t>
  </si>
  <si>
    <t>Meera Nair</t>
  </si>
  <si>
    <t>TXN000384</t>
  </si>
  <si>
    <t>CUST00385</t>
  </si>
  <si>
    <t>Asha Das</t>
  </si>
  <si>
    <t>TXN000385</t>
  </si>
  <si>
    <t>CUST00386</t>
  </si>
  <si>
    <t>TXN000386</t>
  </si>
  <si>
    <t>CUST00387</t>
  </si>
  <si>
    <t>TXN000387</t>
  </si>
  <si>
    <t>CUST00388</t>
  </si>
  <si>
    <t>TXN000388</t>
  </si>
  <si>
    <t>CUST00389</t>
  </si>
  <si>
    <t>TXN000389</t>
  </si>
  <si>
    <t>CUST00390</t>
  </si>
  <si>
    <t>TXN000390</t>
  </si>
  <si>
    <t>CUST00391</t>
  </si>
  <si>
    <t>Priya Kumar</t>
  </si>
  <si>
    <t>TXN000391</t>
  </si>
  <si>
    <t>CUST00392</t>
  </si>
  <si>
    <t>TXN000392</t>
  </si>
  <si>
    <t>CUST00393</t>
  </si>
  <si>
    <t>Rahul Patel</t>
  </si>
  <si>
    <t>TXN000393</t>
  </si>
  <si>
    <t>CUST00394</t>
  </si>
  <si>
    <t>TXN000394</t>
  </si>
  <si>
    <t>CUST00395</t>
  </si>
  <si>
    <t>Asha Verma</t>
  </si>
  <si>
    <t>TXN000395</t>
  </si>
  <si>
    <t>CUST00396</t>
  </si>
  <si>
    <t>TXN000396</t>
  </si>
  <si>
    <t>CUST00397</t>
  </si>
  <si>
    <t>TXN000397</t>
  </si>
  <si>
    <t>CUST00398</t>
  </si>
  <si>
    <t>Kiran Joseph</t>
  </si>
  <si>
    <t>TXN000398</t>
  </si>
  <si>
    <t>CUST00399</t>
  </si>
  <si>
    <t>Ananya Menon</t>
  </si>
  <si>
    <t>TXN000399</t>
  </si>
  <si>
    <t>CUST00400</t>
  </si>
  <si>
    <t>Neha Pillai</t>
  </si>
  <si>
    <t>TXN000400</t>
  </si>
  <si>
    <t>CUST00401</t>
  </si>
  <si>
    <t>TXN000401</t>
  </si>
  <si>
    <t>CUST00402</t>
  </si>
  <si>
    <t>TXN000402</t>
  </si>
  <si>
    <t>CUST00403</t>
  </si>
  <si>
    <t>TXN000403</t>
  </si>
  <si>
    <t>CUST00404</t>
  </si>
  <si>
    <t>TXN000404</t>
  </si>
  <si>
    <t>CUST00405</t>
  </si>
  <si>
    <t>TXN000405</t>
  </si>
  <si>
    <t>CUST00406</t>
  </si>
  <si>
    <t>TXN000406</t>
  </si>
  <si>
    <t>CUST00407</t>
  </si>
  <si>
    <t>Meera Thomas</t>
  </si>
  <si>
    <t>TXN000407</t>
  </si>
  <si>
    <t>CUST00408</t>
  </si>
  <si>
    <t>TXN000408</t>
  </si>
  <si>
    <t>CUST00409</t>
  </si>
  <si>
    <t>TXN000409</t>
  </si>
  <si>
    <t>CUST00410</t>
  </si>
  <si>
    <t>TXN000410</t>
  </si>
  <si>
    <t>CUST00411</t>
  </si>
  <si>
    <t>TXN000411</t>
  </si>
  <si>
    <t>CUST00412</t>
  </si>
  <si>
    <t>TXN000412</t>
  </si>
  <si>
    <t>CUST00413</t>
  </si>
  <si>
    <t>Divya Nair</t>
  </si>
  <si>
    <t>TXN000413</t>
  </si>
  <si>
    <t>CUST00414</t>
  </si>
  <si>
    <t>TXN000414</t>
  </si>
  <si>
    <t>CUST00415</t>
  </si>
  <si>
    <t>TXN000415</t>
  </si>
  <si>
    <t>CUST00416</t>
  </si>
  <si>
    <t>TXN000416</t>
  </si>
  <si>
    <t>CUST00417</t>
  </si>
  <si>
    <t>TXN000417</t>
  </si>
  <si>
    <t>CUST00418</t>
  </si>
  <si>
    <t>TXN000418</t>
  </si>
  <si>
    <t>CUST00419</t>
  </si>
  <si>
    <t>TXN000419</t>
  </si>
  <si>
    <t>CUST00420</t>
  </si>
  <si>
    <t>TXN000420</t>
  </si>
  <si>
    <t>CUST00421</t>
  </si>
  <si>
    <t>Meera Joseph</t>
  </si>
  <si>
    <t>TXN000421</t>
  </si>
  <si>
    <t>CUST00422</t>
  </si>
  <si>
    <t>Manoj Sharma</t>
  </si>
  <si>
    <t>TXN000422</t>
  </si>
  <si>
    <t>CUST00423</t>
  </si>
  <si>
    <t>TXN000423</t>
  </si>
  <si>
    <t>CUST00424</t>
  </si>
  <si>
    <t>TXN000424</t>
  </si>
  <si>
    <t>CUST00425</t>
  </si>
  <si>
    <t>TXN000425</t>
  </si>
  <si>
    <t>CUST00426</t>
  </si>
  <si>
    <t>TXN000426</t>
  </si>
  <si>
    <t>CUST00427</t>
  </si>
  <si>
    <t>TXN000427</t>
  </si>
  <si>
    <t>CUST00428</t>
  </si>
  <si>
    <t>TXN000428</t>
  </si>
  <si>
    <t>CUST00429</t>
  </si>
  <si>
    <t>Pooja Sharma</t>
  </si>
  <si>
    <t>TXN000429</t>
  </si>
  <si>
    <t>CUST00430</t>
  </si>
  <si>
    <t>TXN000430</t>
  </si>
  <si>
    <t>CUST00431</t>
  </si>
  <si>
    <t>TXN000431</t>
  </si>
  <si>
    <t>CUST00432</t>
  </si>
  <si>
    <t>TXN000432</t>
  </si>
  <si>
    <t>CUST00433</t>
  </si>
  <si>
    <t>TXN000433</t>
  </si>
  <si>
    <t>CUST00434</t>
  </si>
  <si>
    <t>TXN000434</t>
  </si>
  <si>
    <t>CUST00435</t>
  </si>
  <si>
    <t>TXN000435</t>
  </si>
  <si>
    <t>CUST00436</t>
  </si>
  <si>
    <t>TXN000436</t>
  </si>
  <si>
    <t>CUST00437</t>
  </si>
  <si>
    <t>TXN000437</t>
  </si>
  <si>
    <t>CUST00438</t>
  </si>
  <si>
    <t>TXN000438</t>
  </si>
  <si>
    <t>CUST00439</t>
  </si>
  <si>
    <t>TXN000439</t>
  </si>
  <si>
    <t>CUST00440</t>
  </si>
  <si>
    <t>TXN000440</t>
  </si>
  <si>
    <t>CUST00441</t>
  </si>
  <si>
    <t>TXN000441</t>
  </si>
  <si>
    <t>CUST00442</t>
  </si>
  <si>
    <t>TXN000442</t>
  </si>
  <si>
    <t>CUST00443</t>
  </si>
  <si>
    <t>TXN000443</t>
  </si>
  <si>
    <t>CUST00444</t>
  </si>
  <si>
    <t>TXN000444</t>
  </si>
  <si>
    <t>CUST00445</t>
  </si>
  <si>
    <t>TXN000445</t>
  </si>
  <si>
    <t>CUST00446</t>
  </si>
  <si>
    <t>Manoj Nair</t>
  </si>
  <si>
    <t>TXN000446</t>
  </si>
  <si>
    <t>CUST00447</t>
  </si>
  <si>
    <t>TXN000447</t>
  </si>
  <si>
    <t>CUST00448</t>
  </si>
  <si>
    <t>Nikhil Menon</t>
  </si>
  <si>
    <t>TXN000448</t>
  </si>
  <si>
    <t>CUST00449</t>
  </si>
  <si>
    <t>TXN000449</t>
  </si>
  <si>
    <t>CUST00450</t>
  </si>
  <si>
    <t>TXN000450</t>
  </si>
  <si>
    <t>CUST00451</t>
  </si>
  <si>
    <t>TXN000451</t>
  </si>
  <si>
    <t>CUST00452</t>
  </si>
  <si>
    <t>TXN000452</t>
  </si>
  <si>
    <t>CUST00453</t>
  </si>
  <si>
    <t>Isha Verma</t>
  </si>
  <si>
    <t>TXN000453</t>
  </si>
  <si>
    <t>CUST00454</t>
  </si>
  <si>
    <t>Rohan Singh</t>
  </si>
  <si>
    <t>TXN000454</t>
  </si>
  <si>
    <t>CUST00455</t>
  </si>
  <si>
    <t>Meera Verma</t>
  </si>
  <si>
    <t>TXN000455</t>
  </si>
  <si>
    <t>CUST00456</t>
  </si>
  <si>
    <t>TXN000456</t>
  </si>
  <si>
    <t>CUST00457</t>
  </si>
  <si>
    <t>Priya Menon</t>
  </si>
  <si>
    <t>TXN000457</t>
  </si>
  <si>
    <t>CUST00458</t>
  </si>
  <si>
    <t>TXN000458</t>
  </si>
  <si>
    <t>CUST00459</t>
  </si>
  <si>
    <t>TXN000459</t>
  </si>
  <si>
    <t>CUST00460</t>
  </si>
  <si>
    <t>TXN000460</t>
  </si>
  <si>
    <t>CUST00461</t>
  </si>
  <si>
    <t>TXN000461</t>
  </si>
  <si>
    <t>CUST00462</t>
  </si>
  <si>
    <t>TXN000462</t>
  </si>
  <si>
    <t>CUST00463</t>
  </si>
  <si>
    <t>TXN000463</t>
  </si>
  <si>
    <t>CUST00464</t>
  </si>
  <si>
    <t>Arun Reddy</t>
  </si>
  <si>
    <t>TXN000464</t>
  </si>
  <si>
    <t>CUST00465</t>
  </si>
  <si>
    <t>TXN000465</t>
  </si>
  <si>
    <t>CUST00466</t>
  </si>
  <si>
    <t>TXN000466</t>
  </si>
  <si>
    <t>CUST00467</t>
  </si>
  <si>
    <t>TXN000467</t>
  </si>
  <si>
    <t>CUST00468</t>
  </si>
  <si>
    <t>TXN000468</t>
  </si>
  <si>
    <t>CUST00469</t>
  </si>
  <si>
    <t>TXN000469</t>
  </si>
  <si>
    <t>CUST00470</t>
  </si>
  <si>
    <t>TXN000470</t>
  </si>
  <si>
    <t>CUST00471</t>
  </si>
  <si>
    <t>TXN000471</t>
  </si>
  <si>
    <t>CUST00472</t>
  </si>
  <si>
    <t>TXN000472</t>
  </si>
  <si>
    <t>CUST00473</t>
  </si>
  <si>
    <t>TXN000473</t>
  </si>
  <si>
    <t>CUST00474</t>
  </si>
  <si>
    <t>TXN000474</t>
  </si>
  <si>
    <t>CUST00475</t>
  </si>
  <si>
    <t>TXN000475</t>
  </si>
  <si>
    <t>CUST00476</t>
  </si>
  <si>
    <t>Ananya Sharma</t>
  </si>
  <si>
    <t>TXN000476</t>
  </si>
  <si>
    <t>CUST00477</t>
  </si>
  <si>
    <t>TXN000477</t>
  </si>
  <si>
    <t>CUST00478</t>
  </si>
  <si>
    <t>TXN000478</t>
  </si>
  <si>
    <t>CUST00479</t>
  </si>
  <si>
    <t>TXN000479</t>
  </si>
  <si>
    <t>CUST00480</t>
  </si>
  <si>
    <t>TXN000480</t>
  </si>
  <si>
    <t>CUST00481</t>
  </si>
  <si>
    <t>TXN000481</t>
  </si>
  <si>
    <t>CUST00482</t>
  </si>
  <si>
    <t>TXN000482</t>
  </si>
  <si>
    <t>CUST00483</t>
  </si>
  <si>
    <t>TXN000483</t>
  </si>
  <si>
    <t>CUST00484</t>
  </si>
  <si>
    <t>TXN000484</t>
  </si>
  <si>
    <t>CUST00485</t>
  </si>
  <si>
    <t>TXN000485</t>
  </si>
  <si>
    <t>CUST00486</t>
  </si>
  <si>
    <t>TXN000486</t>
  </si>
  <si>
    <t>CUST00487</t>
  </si>
  <si>
    <t>TXN000487</t>
  </si>
  <si>
    <t>CUST00488</t>
  </si>
  <si>
    <t>TXN000488</t>
  </si>
  <si>
    <t>CUST00489</t>
  </si>
  <si>
    <t>Vivek Verma</t>
  </si>
  <si>
    <t>TXN000489</t>
  </si>
  <si>
    <t>CUST00490</t>
  </si>
  <si>
    <t>TXN000490</t>
  </si>
  <si>
    <t>CUST00491</t>
  </si>
  <si>
    <t>TXN000491</t>
  </si>
  <si>
    <t>CUST00492</t>
  </si>
  <si>
    <t>Vivek Patel</t>
  </si>
  <si>
    <t>TXN000492</t>
  </si>
  <si>
    <t>CUST00493</t>
  </si>
  <si>
    <t>TXN000493</t>
  </si>
  <si>
    <t>CUST00494</t>
  </si>
  <si>
    <t>TXN000494</t>
  </si>
  <si>
    <t>CUST00495</t>
  </si>
  <si>
    <t>TXN000495</t>
  </si>
  <si>
    <t>CUST00496</t>
  </si>
  <si>
    <t>Neha Das</t>
  </si>
  <si>
    <t>TXN000496</t>
  </si>
  <si>
    <t>CUST00497</t>
  </si>
  <si>
    <t>TXN000497</t>
  </si>
  <si>
    <t>CUST00498</t>
  </si>
  <si>
    <t>TXN000498</t>
  </si>
  <si>
    <t>CUST00499</t>
  </si>
  <si>
    <t>Arun Patel</t>
  </si>
  <si>
    <t>TXN000499</t>
  </si>
  <si>
    <t>CUST00500</t>
  </si>
  <si>
    <t>TXN000500</t>
  </si>
  <si>
    <t>CUST00501</t>
  </si>
  <si>
    <t>TXN000501</t>
  </si>
  <si>
    <t>CUST00502</t>
  </si>
  <si>
    <t>TXN000502</t>
  </si>
  <si>
    <t>CUST00503</t>
  </si>
  <si>
    <t>TXN000503</t>
  </si>
  <si>
    <t>CUST00504</t>
  </si>
  <si>
    <t>Meera Menon</t>
  </si>
  <si>
    <t>TXN000504</t>
  </si>
  <si>
    <t>CUST00505</t>
  </si>
  <si>
    <t>TXN000505</t>
  </si>
  <si>
    <t>CUST00506</t>
  </si>
  <si>
    <t>TXN000506</t>
  </si>
  <si>
    <t>CUST00507</t>
  </si>
  <si>
    <t>TXN000507</t>
  </si>
  <si>
    <t>CUST00508</t>
  </si>
  <si>
    <t>TXN000508</t>
  </si>
  <si>
    <t>CUST00509</t>
  </si>
  <si>
    <t>Pooja Kumar</t>
  </si>
  <si>
    <t>TXN000509</t>
  </si>
  <si>
    <t>CUST00510</t>
  </si>
  <si>
    <t>TXN000510</t>
  </si>
  <si>
    <t>CUST00511</t>
  </si>
  <si>
    <t>TXN000511</t>
  </si>
  <si>
    <t>CUST00512</t>
  </si>
  <si>
    <t>TXN000512</t>
  </si>
  <si>
    <t>CUST00513</t>
  </si>
  <si>
    <t>TXN000513</t>
  </si>
  <si>
    <t>CUST00514</t>
  </si>
  <si>
    <t>Isha Kumar</t>
  </si>
  <si>
    <t>TXN000514</t>
  </si>
  <si>
    <t>CUST00515</t>
  </si>
  <si>
    <t>TXN000515</t>
  </si>
  <si>
    <t>CUST00516</t>
  </si>
  <si>
    <t>TXN000516</t>
  </si>
  <si>
    <t>CUST00517</t>
  </si>
  <si>
    <t>TXN000517</t>
  </si>
  <si>
    <t>CUST00518</t>
  </si>
  <si>
    <t>TXN000518</t>
  </si>
  <si>
    <t>CUST00519</t>
  </si>
  <si>
    <t>Ananya Thomas</t>
  </si>
  <si>
    <t>TXN000519</t>
  </si>
  <si>
    <t>CUST00520</t>
  </si>
  <si>
    <t>TXN000520</t>
  </si>
  <si>
    <t>CUST00521</t>
  </si>
  <si>
    <t>TXN000521</t>
  </si>
  <si>
    <t>CUST00522</t>
  </si>
  <si>
    <t>TXN000522</t>
  </si>
  <si>
    <t>CUST00523</t>
  </si>
  <si>
    <t>TXN000523</t>
  </si>
  <si>
    <t>CUST00524</t>
  </si>
  <si>
    <t>Kavya Pillai</t>
  </si>
  <si>
    <t>TXN000524</t>
  </si>
  <si>
    <t>CUST00525</t>
  </si>
  <si>
    <t>TXN000525</t>
  </si>
  <si>
    <t>CUST00526</t>
  </si>
  <si>
    <t>TXN000526</t>
  </si>
  <si>
    <t>CUST00527</t>
  </si>
  <si>
    <t>TXN000527</t>
  </si>
  <si>
    <t>CUST00528</t>
  </si>
  <si>
    <t>TXN000528</t>
  </si>
  <si>
    <t>CUST00529</t>
  </si>
  <si>
    <t>TXN000529</t>
  </si>
  <si>
    <t>CUST00530</t>
  </si>
  <si>
    <t>TXN000530</t>
  </si>
  <si>
    <t>CUST00531</t>
  </si>
  <si>
    <t>TXN000531</t>
  </si>
  <si>
    <t>CUST00532</t>
  </si>
  <si>
    <t>TXN000532</t>
  </si>
  <si>
    <t>CUST00533</t>
  </si>
  <si>
    <t>TXN000533</t>
  </si>
  <si>
    <t>CUST00534</t>
  </si>
  <si>
    <t>TXN000534</t>
  </si>
  <si>
    <t>CUST00535</t>
  </si>
  <si>
    <t>TXN000535</t>
  </si>
  <si>
    <t>CUST00536</t>
  </si>
  <si>
    <t>TXN000536</t>
  </si>
  <si>
    <t>CUST00537</t>
  </si>
  <si>
    <t>TXN000537</t>
  </si>
  <si>
    <t>CUST00538</t>
  </si>
  <si>
    <t>TXN000538</t>
  </si>
  <si>
    <t>CUST00539</t>
  </si>
  <si>
    <t>TXN000539</t>
  </si>
  <si>
    <t>CUST00540</t>
  </si>
  <si>
    <t>TXN000540</t>
  </si>
  <si>
    <t>CUST00541</t>
  </si>
  <si>
    <t>TXN000541</t>
  </si>
  <si>
    <t>CUST00542</t>
  </si>
  <si>
    <t>TXN000542</t>
  </si>
  <si>
    <t>CUST00543</t>
  </si>
  <si>
    <t>Sanjay Menon</t>
  </si>
  <si>
    <t>TXN000543</t>
  </si>
  <si>
    <t>CUST00544</t>
  </si>
  <si>
    <t>TXN000544</t>
  </si>
  <si>
    <t>CUST00545</t>
  </si>
  <si>
    <t>TXN000545</t>
  </si>
  <si>
    <t>CUST00546</t>
  </si>
  <si>
    <t>TXN000546</t>
  </si>
  <si>
    <t>CUST00547</t>
  </si>
  <si>
    <t>TXN000547</t>
  </si>
  <si>
    <t>CUST00548</t>
  </si>
  <si>
    <t>TXN000548</t>
  </si>
  <si>
    <t>CUST00549</t>
  </si>
  <si>
    <t>TXN000549</t>
  </si>
  <si>
    <t>CUST00550</t>
  </si>
  <si>
    <t>TXN000550</t>
  </si>
  <si>
    <t>CUST00551</t>
  </si>
  <si>
    <t>TXN000551</t>
  </si>
  <si>
    <t>CUST00552</t>
  </si>
  <si>
    <t>TXN000552</t>
  </si>
  <si>
    <t>CUST00553</t>
  </si>
  <si>
    <t>TXN000553</t>
  </si>
  <si>
    <t>CUST00554</t>
  </si>
  <si>
    <t>TXN000554</t>
  </si>
  <si>
    <t>CUST00555</t>
  </si>
  <si>
    <t>TXN000555</t>
  </si>
  <si>
    <t>CUST00556</t>
  </si>
  <si>
    <t>TXN000556</t>
  </si>
  <si>
    <t>CUST00557</t>
  </si>
  <si>
    <t>TXN000557</t>
  </si>
  <si>
    <t>CUST00558</t>
  </si>
  <si>
    <t>TXN000558</t>
  </si>
  <si>
    <t>CUST00559</t>
  </si>
  <si>
    <t>TXN000559</t>
  </si>
  <si>
    <t>CUST00560</t>
  </si>
  <si>
    <t>Kavya Patel</t>
  </si>
  <si>
    <t>TXN000560</t>
  </si>
  <si>
    <t>CUST00561</t>
  </si>
  <si>
    <t>TXN000561</t>
  </si>
  <si>
    <t>CUST00562</t>
  </si>
  <si>
    <t>TXN000562</t>
  </si>
  <si>
    <t>CUST00563</t>
  </si>
  <si>
    <t>TXN000563</t>
  </si>
  <si>
    <t>CUST00564</t>
  </si>
  <si>
    <t>TXN000564</t>
  </si>
  <si>
    <t>CUST00565</t>
  </si>
  <si>
    <t>Divya Singh</t>
  </si>
  <si>
    <t>TXN000565</t>
  </si>
  <si>
    <t>CUST00566</t>
  </si>
  <si>
    <t>TXN000566</t>
  </si>
  <si>
    <t>CUST00567</t>
  </si>
  <si>
    <t>Akhil Pillai</t>
  </si>
  <si>
    <t>TXN000567</t>
  </si>
  <si>
    <t>CUST00568</t>
  </si>
  <si>
    <t>TXN000568</t>
  </si>
  <si>
    <t>CUST00569</t>
  </si>
  <si>
    <t>Aditya Patel</t>
  </si>
  <si>
    <t>TXN000569</t>
  </si>
  <si>
    <t>CUST00570</t>
  </si>
  <si>
    <t>TXN000570</t>
  </si>
  <si>
    <t>CUST00571</t>
  </si>
  <si>
    <t>TXN000571</t>
  </si>
  <si>
    <t>CUST00572</t>
  </si>
  <si>
    <t>TXN000572</t>
  </si>
  <si>
    <t>CUST00573</t>
  </si>
  <si>
    <t>TXN000573</t>
  </si>
  <si>
    <t>CUST00574</t>
  </si>
  <si>
    <t>TXN000574</t>
  </si>
  <si>
    <t>CUST00575</t>
  </si>
  <si>
    <t>TXN000575</t>
  </si>
  <si>
    <t>CUST00576</t>
  </si>
  <si>
    <t>TXN000576</t>
  </si>
  <si>
    <t>CUST00577</t>
  </si>
  <si>
    <t>TXN000577</t>
  </si>
  <si>
    <t>CUST00578</t>
  </si>
  <si>
    <t>TXN000578</t>
  </si>
  <si>
    <t>CUST00579</t>
  </si>
  <si>
    <t>TXN000579</t>
  </si>
  <si>
    <t>CUST00580</t>
  </si>
  <si>
    <t>TXN000580</t>
  </si>
  <si>
    <t>CUST00581</t>
  </si>
  <si>
    <t>TXN000581</t>
  </si>
  <si>
    <t>CUST00582</t>
  </si>
  <si>
    <t>TXN000582</t>
  </si>
  <si>
    <t>CUST00583</t>
  </si>
  <si>
    <t>TXN000583</t>
  </si>
  <si>
    <t>CUST00584</t>
  </si>
  <si>
    <t>TXN000584</t>
  </si>
  <si>
    <t>CUST00585</t>
  </si>
  <si>
    <t>Nikhil Singh</t>
  </si>
  <si>
    <t>TXN000585</t>
  </si>
  <si>
    <t>CUST00586</t>
  </si>
  <si>
    <t>TXN000586</t>
  </si>
  <si>
    <t>CUST00587</t>
  </si>
  <si>
    <t>TXN000587</t>
  </si>
  <si>
    <t>CUST00588</t>
  </si>
  <si>
    <t>TXN000588</t>
  </si>
  <si>
    <t>CUST00589</t>
  </si>
  <si>
    <t>TXN000589</t>
  </si>
  <si>
    <t>CUST00590</t>
  </si>
  <si>
    <t>TXN000590</t>
  </si>
  <si>
    <t>CUST00591</t>
  </si>
  <si>
    <t>TXN000591</t>
  </si>
  <si>
    <t>CUST00592</t>
  </si>
  <si>
    <t>TXN000592</t>
  </si>
  <si>
    <t>CUST00593</t>
  </si>
  <si>
    <t>TXN000593</t>
  </si>
  <si>
    <t>CUST00594</t>
  </si>
  <si>
    <t>TXN000594</t>
  </si>
  <si>
    <t>CUST00595</t>
  </si>
  <si>
    <t>TXN000595</t>
  </si>
  <si>
    <t>CUST00596</t>
  </si>
  <si>
    <t>TXN000596</t>
  </si>
  <si>
    <t>CUST00597</t>
  </si>
  <si>
    <t>TXN000597</t>
  </si>
  <si>
    <t>CUST00598</t>
  </si>
  <si>
    <t>TXN000598</t>
  </si>
  <si>
    <t>CUST00599</t>
  </si>
  <si>
    <t>TXN000599</t>
  </si>
  <si>
    <t>CUST00600</t>
  </si>
  <si>
    <t>TXN000600</t>
  </si>
  <si>
    <t>CUST00601</t>
  </si>
  <si>
    <t>TXN000601</t>
  </si>
  <si>
    <t>CUST00602</t>
  </si>
  <si>
    <t>TXN000602</t>
  </si>
  <si>
    <t>CUST00603</t>
  </si>
  <si>
    <t>TXN000603</t>
  </si>
  <si>
    <t>CUST00604</t>
  </si>
  <si>
    <t>TXN000604</t>
  </si>
  <si>
    <t>CUST00605</t>
  </si>
  <si>
    <t>TXN000605</t>
  </si>
  <si>
    <t>CUST00606</t>
  </si>
  <si>
    <t>TXN000606</t>
  </si>
  <si>
    <t>CUST00607</t>
  </si>
  <si>
    <t>TXN000607</t>
  </si>
  <si>
    <t>CUST00608</t>
  </si>
  <si>
    <t>TXN000608</t>
  </si>
  <si>
    <t>CUST00609</t>
  </si>
  <si>
    <t>Vivek Nair</t>
  </si>
  <si>
    <t>TXN000609</t>
  </si>
  <si>
    <t>CUST00610</t>
  </si>
  <si>
    <t>TXN000610</t>
  </si>
  <si>
    <t>CUST00611</t>
  </si>
  <si>
    <t>TXN000611</t>
  </si>
  <si>
    <t>CUST00612</t>
  </si>
  <si>
    <t>TXN000612</t>
  </si>
  <si>
    <t>CUST00613</t>
  </si>
  <si>
    <t>TXN000613</t>
  </si>
  <si>
    <t>CUST00614</t>
  </si>
  <si>
    <t>TXN000614</t>
  </si>
  <si>
    <t>deposit</t>
  </si>
  <si>
    <t>CUST00615</t>
  </si>
  <si>
    <t>TXN000615</t>
  </si>
  <si>
    <t>CUST00616</t>
  </si>
  <si>
    <t>Manoj Kumar</t>
  </si>
  <si>
    <t>TXN000616</t>
  </si>
  <si>
    <t>CUST00617</t>
  </si>
  <si>
    <t>TXN000617</t>
  </si>
  <si>
    <t>CUST00618</t>
  </si>
  <si>
    <t>TXN000618</t>
  </si>
  <si>
    <t>CUST00619</t>
  </si>
  <si>
    <t>TXN000619</t>
  </si>
  <si>
    <t>CUST00620</t>
  </si>
  <si>
    <t>TXN000620</t>
  </si>
  <si>
    <t>CUST00621</t>
  </si>
  <si>
    <t>TXN000621</t>
  </si>
  <si>
    <t>CUST00622</t>
  </si>
  <si>
    <t>TXN000622</t>
  </si>
  <si>
    <t>CUST00623</t>
  </si>
  <si>
    <t>TXN000623</t>
  </si>
  <si>
    <t>CUST00624</t>
  </si>
  <si>
    <t>TXN000624</t>
  </si>
  <si>
    <t>CUST00625</t>
  </si>
  <si>
    <t>TXN000625</t>
  </si>
  <si>
    <t>CUST00626</t>
  </si>
  <si>
    <t>TXN000626</t>
  </si>
  <si>
    <t>CUST00627</t>
  </si>
  <si>
    <t>TXN000627</t>
  </si>
  <si>
    <t>CUST00628</t>
  </si>
  <si>
    <t>TXN000628</t>
  </si>
  <si>
    <t>CUST00629</t>
  </si>
  <si>
    <t>TXN000629</t>
  </si>
  <si>
    <t>CUST00630</t>
  </si>
  <si>
    <t>TXN000630</t>
  </si>
  <si>
    <t>CUST00631</t>
  </si>
  <si>
    <t>TXN000631</t>
  </si>
  <si>
    <t>CUST00632</t>
  </si>
  <si>
    <t>TXN000632</t>
  </si>
  <si>
    <t>CUST00633</t>
  </si>
  <si>
    <t>TXN000633</t>
  </si>
  <si>
    <t>CUST00634</t>
  </si>
  <si>
    <t>TXN000634</t>
  </si>
  <si>
    <t>CUST00635</t>
  </si>
  <si>
    <t>TXN000635</t>
  </si>
  <si>
    <t>CUST00636</t>
  </si>
  <si>
    <t>TXN000636</t>
  </si>
  <si>
    <t>CUST00637</t>
  </si>
  <si>
    <t>TXN000637</t>
  </si>
  <si>
    <t>CUST00638</t>
  </si>
  <si>
    <t>TXN000638</t>
  </si>
  <si>
    <t>CUST00639</t>
  </si>
  <si>
    <t>TXN000639</t>
  </si>
  <si>
    <t>CUST00640</t>
  </si>
  <si>
    <t>TXN000640</t>
  </si>
  <si>
    <t>CUST00641</t>
  </si>
  <si>
    <t>TXN000641</t>
  </si>
  <si>
    <t>CUST00642</t>
  </si>
  <si>
    <t>TXN000642</t>
  </si>
  <si>
    <t>CUST00643</t>
  </si>
  <si>
    <t>TXN000643</t>
  </si>
  <si>
    <t>CUST00644</t>
  </si>
  <si>
    <t>TXN000644</t>
  </si>
  <si>
    <t>CUST00645</t>
  </si>
  <si>
    <t>TXN000645</t>
  </si>
  <si>
    <t>CUST00646</t>
  </si>
  <si>
    <t>TXN000646</t>
  </si>
  <si>
    <t>CUST00647</t>
  </si>
  <si>
    <t>TXN000647</t>
  </si>
  <si>
    <t>CUST00648</t>
  </si>
  <si>
    <t>TXN000648</t>
  </si>
  <si>
    <t>CUST00649</t>
  </si>
  <si>
    <t>TXN000649</t>
  </si>
  <si>
    <t>CUST00650</t>
  </si>
  <si>
    <t>TXN000650</t>
  </si>
  <si>
    <t>CUST00651</t>
  </si>
  <si>
    <t>TXN000651</t>
  </si>
  <si>
    <t>CUST00652</t>
  </si>
  <si>
    <t>TXN000652</t>
  </si>
  <si>
    <t>CUST00653</t>
  </si>
  <si>
    <t>TXN000653</t>
  </si>
  <si>
    <t>CUST00654</t>
  </si>
  <si>
    <t>TXN000654</t>
  </si>
  <si>
    <t>CUST00655</t>
  </si>
  <si>
    <t>TXN000655</t>
  </si>
  <si>
    <t>CUST00656</t>
  </si>
  <si>
    <t>TXN000656</t>
  </si>
  <si>
    <t>CUST00657</t>
  </si>
  <si>
    <t>TXN000657</t>
  </si>
  <si>
    <t>CUST00658</t>
  </si>
  <si>
    <t>TXN000658</t>
  </si>
  <si>
    <t>CUST00659</t>
  </si>
  <si>
    <t>TXN000659</t>
  </si>
  <si>
    <t>CUST00660</t>
  </si>
  <si>
    <t>TXN000660</t>
  </si>
  <si>
    <t>CUST00661</t>
  </si>
  <si>
    <t>TXN000661</t>
  </si>
  <si>
    <t>CUST00662</t>
  </si>
  <si>
    <t>TXN000662</t>
  </si>
  <si>
    <t>CUST00663</t>
  </si>
  <si>
    <t>TXN000663</t>
  </si>
  <si>
    <t>CUST00664</t>
  </si>
  <si>
    <t>TXN000664</t>
  </si>
  <si>
    <t>CUST00665</t>
  </si>
  <si>
    <t>TXN000665</t>
  </si>
  <si>
    <t>CUST00666</t>
  </si>
  <si>
    <t>TXN000666</t>
  </si>
  <si>
    <t>CUST00667</t>
  </si>
  <si>
    <t>TXN000667</t>
  </si>
  <si>
    <t>CUST00668</t>
  </si>
  <si>
    <t>TXN000668</t>
  </si>
  <si>
    <t>CUST00669</t>
  </si>
  <si>
    <t>TXN000669</t>
  </si>
  <si>
    <t>CUST00670</t>
  </si>
  <si>
    <t>TXN000670</t>
  </si>
  <si>
    <t>CUST00671</t>
  </si>
  <si>
    <t>TXN000671</t>
  </si>
  <si>
    <t>CUST00672</t>
  </si>
  <si>
    <t>TXN000672</t>
  </si>
  <si>
    <t>CUST00673</t>
  </si>
  <si>
    <t>Rahul Das</t>
  </si>
  <si>
    <t>TXN000673</t>
  </si>
  <si>
    <t>CUST00674</t>
  </si>
  <si>
    <t>Kavya Kumar</t>
  </si>
  <si>
    <t>TXN000674</t>
  </si>
  <si>
    <t>CUST00675</t>
  </si>
  <si>
    <t>TXN000675</t>
  </si>
  <si>
    <t>CUST00676</t>
  </si>
  <si>
    <t>TXN000676</t>
  </si>
  <si>
    <t>CUST00677</t>
  </si>
  <si>
    <t>TXN000677</t>
  </si>
  <si>
    <t>CUST00678</t>
  </si>
  <si>
    <t>TXN000678</t>
  </si>
  <si>
    <t>CUST00679</t>
  </si>
  <si>
    <t>Asha Kumar</t>
  </si>
  <si>
    <t>TXN000679</t>
  </si>
  <si>
    <t>CUST00680</t>
  </si>
  <si>
    <t>TXN000680</t>
  </si>
  <si>
    <t>CUST00681</t>
  </si>
  <si>
    <t>TXN000681</t>
  </si>
  <si>
    <t>CUST00682</t>
  </si>
  <si>
    <t>TXN000682</t>
  </si>
  <si>
    <t>CUST00683</t>
  </si>
  <si>
    <t>TXN000683</t>
  </si>
  <si>
    <t>CUST00684</t>
  </si>
  <si>
    <t>TXN000684</t>
  </si>
  <si>
    <t>CUST00685</t>
  </si>
  <si>
    <t>TXN000685</t>
  </si>
  <si>
    <t>CUST00686</t>
  </si>
  <si>
    <t>TXN000686</t>
  </si>
  <si>
    <t>CUST00687</t>
  </si>
  <si>
    <t>TXN000687</t>
  </si>
  <si>
    <t>CUST00688</t>
  </si>
  <si>
    <t>TXN000688</t>
  </si>
  <si>
    <t>CUST00689</t>
  </si>
  <si>
    <t>TXN000689</t>
  </si>
  <si>
    <t>CUST00690</t>
  </si>
  <si>
    <t>TXN000690</t>
  </si>
  <si>
    <t>CUST00691</t>
  </si>
  <si>
    <t>TXN000691</t>
  </si>
  <si>
    <t>CUST00692</t>
  </si>
  <si>
    <t>TXN000692</t>
  </si>
  <si>
    <t>CUST00693</t>
  </si>
  <si>
    <t>TXN000693</t>
  </si>
  <si>
    <t>CUST00694</t>
  </si>
  <si>
    <t>TXN000694</t>
  </si>
  <si>
    <t>CUST00695</t>
  </si>
  <si>
    <t>TXN000695</t>
  </si>
  <si>
    <t>CUST00696</t>
  </si>
  <si>
    <t>TXN000696</t>
  </si>
  <si>
    <t>CUST00697</t>
  </si>
  <si>
    <t>TXN000697</t>
  </si>
  <si>
    <t>CUST00698</t>
  </si>
  <si>
    <t>TXN000698</t>
  </si>
  <si>
    <t>CUST00699</t>
  </si>
  <si>
    <t>TXN000699</t>
  </si>
  <si>
    <t>CUST00700</t>
  </si>
  <si>
    <t>TXN000700</t>
  </si>
  <si>
    <t>CUST00701</t>
  </si>
  <si>
    <t>TXN000701</t>
  </si>
  <si>
    <t>CUST00702</t>
  </si>
  <si>
    <t>TXN000702</t>
  </si>
  <si>
    <t>CUST00703</t>
  </si>
  <si>
    <t>TXN000703</t>
  </si>
  <si>
    <t>CUST00704</t>
  </si>
  <si>
    <t>TXN000704</t>
  </si>
  <si>
    <t>CUST00705</t>
  </si>
  <si>
    <t>TXN000705</t>
  </si>
  <si>
    <t>CUST00706</t>
  </si>
  <si>
    <t>TXN000706</t>
  </si>
  <si>
    <t>CUST00707</t>
  </si>
  <si>
    <t>TXN000707</t>
  </si>
  <si>
    <t>CUST00708</t>
  </si>
  <si>
    <t>TXN000708</t>
  </si>
  <si>
    <t>CUST00709</t>
  </si>
  <si>
    <t>TXN000709</t>
  </si>
  <si>
    <t>CUST00710</t>
  </si>
  <si>
    <t>TXN000710</t>
  </si>
  <si>
    <t>CUST00711</t>
  </si>
  <si>
    <t>TXN000711</t>
  </si>
  <si>
    <t>CUST00712</t>
  </si>
  <si>
    <t>TXN000712</t>
  </si>
  <si>
    <t>CUST00713</t>
  </si>
  <si>
    <t>TXN000713</t>
  </si>
  <si>
    <t>CUST00714</t>
  </si>
  <si>
    <t>TXN000714</t>
  </si>
  <si>
    <t>CUST00715</t>
  </si>
  <si>
    <t>TXN000715</t>
  </si>
  <si>
    <t>CUST00716</t>
  </si>
  <si>
    <t>TXN000716</t>
  </si>
  <si>
    <t>CUST00717</t>
  </si>
  <si>
    <t>TXN000717</t>
  </si>
  <si>
    <t>CUST00718</t>
  </si>
  <si>
    <t>TXN000718</t>
  </si>
  <si>
    <t>CUST00719</t>
  </si>
  <si>
    <t>TXN000719</t>
  </si>
  <si>
    <t>CUST00720</t>
  </si>
  <si>
    <t>TXN000720</t>
  </si>
  <si>
    <t>CUST00721</t>
  </si>
  <si>
    <t>TXN000721</t>
  </si>
  <si>
    <t>CUST00722</t>
  </si>
  <si>
    <t>TXN000722</t>
  </si>
  <si>
    <t>CUST00723</t>
  </si>
  <si>
    <t>TXN000723</t>
  </si>
  <si>
    <t>CUST00724</t>
  </si>
  <si>
    <t>TXN000724</t>
  </si>
  <si>
    <t>CUST00725</t>
  </si>
  <si>
    <t>TXN000725</t>
  </si>
  <si>
    <t>CUST00726</t>
  </si>
  <si>
    <t>TXN000726</t>
  </si>
  <si>
    <t>CUST00727</t>
  </si>
  <si>
    <t>TXN000727</t>
  </si>
  <si>
    <t>CUST00728</t>
  </si>
  <si>
    <t>TXN000728</t>
  </si>
  <si>
    <t>CUST00729</t>
  </si>
  <si>
    <t>TXN000729</t>
  </si>
  <si>
    <t>CUST00730</t>
  </si>
  <si>
    <t>TXN000730</t>
  </si>
  <si>
    <t>CUST00731</t>
  </si>
  <si>
    <t>TXN000731</t>
  </si>
  <si>
    <t>CUST00732</t>
  </si>
  <si>
    <t>TXN000732</t>
  </si>
  <si>
    <t>CUST00733</t>
  </si>
  <si>
    <t>TXN000733</t>
  </si>
  <si>
    <t>CUST00734</t>
  </si>
  <si>
    <t>TXN000734</t>
  </si>
  <si>
    <t>CUST00735</t>
  </si>
  <si>
    <t>TXN000735</t>
  </si>
  <si>
    <t>CUST00736</t>
  </si>
  <si>
    <t>TXN000736</t>
  </si>
  <si>
    <t>CUST00737</t>
  </si>
  <si>
    <t>TXN000737</t>
  </si>
  <si>
    <t>CUST00738</t>
  </si>
  <si>
    <t>TXN000738</t>
  </si>
  <si>
    <t>CUST00739</t>
  </si>
  <si>
    <t>TXN000739</t>
  </si>
  <si>
    <t>CUST00740</t>
  </si>
  <si>
    <t>TXN000740</t>
  </si>
  <si>
    <t>CUST00741</t>
  </si>
  <si>
    <t>Priya Nair</t>
  </si>
  <si>
    <t>TXN000741</t>
  </si>
  <si>
    <t>CUST00742</t>
  </si>
  <si>
    <t>TXN000742</t>
  </si>
  <si>
    <t>CUST00743</t>
  </si>
  <si>
    <t>TXN000743</t>
  </si>
  <si>
    <t>CUST00744</t>
  </si>
  <si>
    <t>TXN000744</t>
  </si>
  <si>
    <t>CUST00745</t>
  </si>
  <si>
    <t>TXN000745</t>
  </si>
  <si>
    <t>CUST00746</t>
  </si>
  <si>
    <t>TXN000746</t>
  </si>
  <si>
    <t>CUST00747</t>
  </si>
  <si>
    <t>TXN000747</t>
  </si>
  <si>
    <t>CUST00748</t>
  </si>
  <si>
    <t>TXN000748</t>
  </si>
  <si>
    <t>CUST00749</t>
  </si>
  <si>
    <t>TXN000749</t>
  </si>
  <si>
    <t>CUST00750</t>
  </si>
  <si>
    <t>TXN000750</t>
  </si>
  <si>
    <t>CUST00751</t>
  </si>
  <si>
    <t>TXN000751</t>
  </si>
  <si>
    <t>CUST00752</t>
  </si>
  <si>
    <t>TXN000752</t>
  </si>
  <si>
    <t>CUST00753</t>
  </si>
  <si>
    <t>TXN000753</t>
  </si>
  <si>
    <t>CUST00754</t>
  </si>
  <si>
    <t>TXN000754</t>
  </si>
  <si>
    <t>CUST00755</t>
  </si>
  <si>
    <t>TXN000755</t>
  </si>
  <si>
    <t>CUST00756</t>
  </si>
  <si>
    <t>TXN000756</t>
  </si>
  <si>
    <t>CUST00757</t>
  </si>
  <si>
    <t>TXN000757</t>
  </si>
  <si>
    <t>CUST00758</t>
  </si>
  <si>
    <t>TXN000758</t>
  </si>
  <si>
    <t>CUST00759</t>
  </si>
  <si>
    <t>TXN000759</t>
  </si>
  <si>
    <t>CUST00760</t>
  </si>
  <si>
    <t>TXN000760</t>
  </si>
  <si>
    <t>CUST00761</t>
  </si>
  <si>
    <t>TXN000761</t>
  </si>
  <si>
    <t>CUST00762</t>
  </si>
  <si>
    <t>TXN000762</t>
  </si>
  <si>
    <t>CUST00763</t>
  </si>
  <si>
    <t>TXN000763</t>
  </si>
  <si>
    <t>CUST00764</t>
  </si>
  <si>
    <t>TXN000764</t>
  </si>
  <si>
    <t>CUST00765</t>
  </si>
  <si>
    <t>TXN000765</t>
  </si>
  <si>
    <t>CUST00766</t>
  </si>
  <si>
    <t>TXN000766</t>
  </si>
  <si>
    <t>CUST00767</t>
  </si>
  <si>
    <t>TXN000767</t>
  </si>
  <si>
    <t>CUST00768</t>
  </si>
  <si>
    <t>TXN000768</t>
  </si>
  <si>
    <t>CUST00769</t>
  </si>
  <si>
    <t>TXN000769</t>
  </si>
  <si>
    <t>CUST00770</t>
  </si>
  <si>
    <t>TXN000770</t>
  </si>
  <si>
    <t>CUST00771</t>
  </si>
  <si>
    <t>TXN000771</t>
  </si>
  <si>
    <t>CUST00772</t>
  </si>
  <si>
    <t>TXN000772</t>
  </si>
  <si>
    <t>CUST00773</t>
  </si>
  <si>
    <t>TXN000773</t>
  </si>
  <si>
    <t>CUST00774</t>
  </si>
  <si>
    <t>TXN000774</t>
  </si>
  <si>
    <t>CUST00775</t>
  </si>
  <si>
    <t>TXN000775</t>
  </si>
  <si>
    <t>CUST00776</t>
  </si>
  <si>
    <t>TXN000776</t>
  </si>
  <si>
    <t>CUST00777</t>
  </si>
  <si>
    <t>TXN000777</t>
  </si>
  <si>
    <t>CUST00778</t>
  </si>
  <si>
    <t>TXN000778</t>
  </si>
  <si>
    <t>CUST00779</t>
  </si>
  <si>
    <t>TXN000779</t>
  </si>
  <si>
    <t>CUST00780</t>
  </si>
  <si>
    <t>TXN000780</t>
  </si>
  <si>
    <t>CUST00781</t>
  </si>
  <si>
    <t>TXN000781</t>
  </si>
  <si>
    <t>CUST00782</t>
  </si>
  <si>
    <t>TXN000782</t>
  </si>
  <si>
    <t>CUST00783</t>
  </si>
  <si>
    <t>TXN000783</t>
  </si>
  <si>
    <t>CUST00784</t>
  </si>
  <si>
    <t>TXN000784</t>
  </si>
  <si>
    <t>CUST00785</t>
  </si>
  <si>
    <t>TXN000785</t>
  </si>
  <si>
    <t>CUST00786</t>
  </si>
  <si>
    <t>TXN000786</t>
  </si>
  <si>
    <t>CUST00787</t>
  </si>
  <si>
    <t>TXN000787</t>
  </si>
  <si>
    <t>CUST00788</t>
  </si>
  <si>
    <t>TXN000788</t>
  </si>
  <si>
    <t>CUST00789</t>
  </si>
  <si>
    <t>TXN000789</t>
  </si>
  <si>
    <t>CUST00790</t>
  </si>
  <si>
    <t>TXN000790</t>
  </si>
  <si>
    <t>CUST00791</t>
  </si>
  <si>
    <t>TXN000791</t>
  </si>
  <si>
    <t>CUST00792</t>
  </si>
  <si>
    <t>TXN000792</t>
  </si>
  <si>
    <t>CUST00793</t>
  </si>
  <si>
    <t>TXN000793</t>
  </si>
  <si>
    <t>CUST00794</t>
  </si>
  <si>
    <t>TXN000794</t>
  </si>
  <si>
    <t>CUST00795</t>
  </si>
  <si>
    <t>TXN000795</t>
  </si>
  <si>
    <t>CUST00796</t>
  </si>
  <si>
    <t>TXN000796</t>
  </si>
  <si>
    <t>CUST00797</t>
  </si>
  <si>
    <t>TXN000797</t>
  </si>
  <si>
    <t>CUST00798</t>
  </si>
  <si>
    <t>TXN000798</t>
  </si>
  <si>
    <t>CUST00799</t>
  </si>
  <si>
    <t>TXN000799</t>
  </si>
  <si>
    <t>CUST00800</t>
  </si>
  <si>
    <t>TXN000800</t>
  </si>
  <si>
    <t>CUST00801</t>
  </si>
  <si>
    <t>TXN000801</t>
  </si>
  <si>
    <t>CUST00802</t>
  </si>
  <si>
    <t>TXN000802</t>
  </si>
  <si>
    <t>CUST00803</t>
  </si>
  <si>
    <t>TXN000803</t>
  </si>
  <si>
    <t>CUST00804</t>
  </si>
  <si>
    <t>TXN000804</t>
  </si>
  <si>
    <t>CUST00805</t>
  </si>
  <si>
    <t>TXN000805</t>
  </si>
  <si>
    <t>CUST00806</t>
  </si>
  <si>
    <t>TXN000806</t>
  </si>
  <si>
    <t>CUST00807</t>
  </si>
  <si>
    <t>TXN000807</t>
  </si>
  <si>
    <t>CUST00808</t>
  </si>
  <si>
    <t>TXN000808</t>
  </si>
  <si>
    <t>CUST00809</t>
  </si>
  <si>
    <t>TXN000809</t>
  </si>
  <si>
    <t>CUST00810</t>
  </si>
  <si>
    <t>TXN000810</t>
  </si>
  <si>
    <t>CUST00811</t>
  </si>
  <si>
    <t>TXN000811</t>
  </si>
  <si>
    <t>CUST00812</t>
  </si>
  <si>
    <t>TXN000812</t>
  </si>
  <si>
    <t>CUST00813</t>
  </si>
  <si>
    <t>TXN000813</t>
  </si>
  <si>
    <t>CUST00814</t>
  </si>
  <si>
    <t>TXN000814</t>
  </si>
  <si>
    <t>CUST00815</t>
  </si>
  <si>
    <t>TXN000815</t>
  </si>
  <si>
    <t>CUST00816</t>
  </si>
  <si>
    <t>TXN000816</t>
  </si>
  <si>
    <t>CUST00817</t>
  </si>
  <si>
    <t>TXN000817</t>
  </si>
  <si>
    <t>CUST00818</t>
  </si>
  <si>
    <t>TXN000818</t>
  </si>
  <si>
    <t>CUST00819</t>
  </si>
  <si>
    <t>Kiran Pillai</t>
  </si>
  <si>
    <t>TXN000819</t>
  </si>
  <si>
    <t>CUST00820</t>
  </si>
  <si>
    <t>TXN000820</t>
  </si>
  <si>
    <t>CUST00821</t>
  </si>
  <si>
    <t>TXN000821</t>
  </si>
  <si>
    <t>CUST00822</t>
  </si>
  <si>
    <t>TXN000822</t>
  </si>
  <si>
    <t>CUST00823</t>
  </si>
  <si>
    <t>TXN000823</t>
  </si>
  <si>
    <t>CUST00824</t>
  </si>
  <si>
    <t>TXN000824</t>
  </si>
  <si>
    <t>CUST00825</t>
  </si>
  <si>
    <t>TXN000825</t>
  </si>
  <si>
    <t>CUST00826</t>
  </si>
  <si>
    <t>TXN000826</t>
  </si>
  <si>
    <t>CUST00827</t>
  </si>
  <si>
    <t>TXN000827</t>
  </si>
  <si>
    <t>CUST00828</t>
  </si>
  <si>
    <t>TXN000828</t>
  </si>
  <si>
    <t>CUST00829</t>
  </si>
  <si>
    <t>TXN000829</t>
  </si>
  <si>
    <t>CUST00830</t>
  </si>
  <si>
    <t>TXN000830</t>
  </si>
  <si>
    <t>CUST00831</t>
  </si>
  <si>
    <t>TXN000831</t>
  </si>
  <si>
    <t>CUST00832</t>
  </si>
  <si>
    <t>TXN000832</t>
  </si>
  <si>
    <t>CUST00833</t>
  </si>
  <si>
    <t>TXN000833</t>
  </si>
  <si>
    <t>CUST00834</t>
  </si>
  <si>
    <t>TXN000834</t>
  </si>
  <si>
    <t>CUST00835</t>
  </si>
  <si>
    <t>TXN000835</t>
  </si>
  <si>
    <t>CUST00836</t>
  </si>
  <si>
    <t>TXN000836</t>
  </si>
  <si>
    <t>CUST00837</t>
  </si>
  <si>
    <t>TXN000837</t>
  </si>
  <si>
    <t>CUST00838</t>
  </si>
  <si>
    <t>TXN000838</t>
  </si>
  <si>
    <t>CUST00839</t>
  </si>
  <si>
    <t>TXN000839</t>
  </si>
  <si>
    <t>CUST00840</t>
  </si>
  <si>
    <t>TXN000840</t>
  </si>
  <si>
    <t>CUST00841</t>
  </si>
  <si>
    <t>TXN000841</t>
  </si>
  <si>
    <t>CUST00842</t>
  </si>
  <si>
    <t>TXN000842</t>
  </si>
  <si>
    <t>CUST00843</t>
  </si>
  <si>
    <t>TXN000843</t>
  </si>
  <si>
    <t>CUST00844</t>
  </si>
  <si>
    <t>TXN000844</t>
  </si>
  <si>
    <t>CUST00845</t>
  </si>
  <si>
    <t>TXN000845</t>
  </si>
  <si>
    <t>CUST00846</t>
  </si>
  <si>
    <t>TXN000846</t>
  </si>
  <si>
    <t>CUST00847</t>
  </si>
  <si>
    <t>TXN000847</t>
  </si>
  <si>
    <t>CUST00848</t>
  </si>
  <si>
    <t>TXN000848</t>
  </si>
  <si>
    <t>CUST00849</t>
  </si>
  <si>
    <t>TXN000849</t>
  </si>
  <si>
    <t>CUST00850</t>
  </si>
  <si>
    <t>TXN000850</t>
  </si>
  <si>
    <t>CUST00851</t>
  </si>
  <si>
    <t>TXN000851</t>
  </si>
  <si>
    <t>CUST00852</t>
  </si>
  <si>
    <t>TXN000852</t>
  </si>
  <si>
    <t>CUST00853</t>
  </si>
  <si>
    <t>TXN000853</t>
  </si>
  <si>
    <t>CUST00854</t>
  </si>
  <si>
    <t>TXN000854</t>
  </si>
  <si>
    <t>CUST00855</t>
  </si>
  <si>
    <t>TXN000855</t>
  </si>
  <si>
    <t>CUST00856</t>
  </si>
  <si>
    <t>TXN000856</t>
  </si>
  <si>
    <t>CUST00857</t>
  </si>
  <si>
    <t>TXN000857</t>
  </si>
  <si>
    <t>CUST00858</t>
  </si>
  <si>
    <t>TXN000858</t>
  </si>
  <si>
    <t>CUST00859</t>
  </si>
  <si>
    <t>TXN000859</t>
  </si>
  <si>
    <t>CUST00860</t>
  </si>
  <si>
    <t>TXN000860</t>
  </si>
  <si>
    <t>CUST00861</t>
  </si>
  <si>
    <t>TXN000861</t>
  </si>
  <si>
    <t>CUST00862</t>
  </si>
  <si>
    <t>TXN000862</t>
  </si>
  <si>
    <t>CUST00863</t>
  </si>
  <si>
    <t>TXN000863</t>
  </si>
  <si>
    <t>CUST00864</t>
  </si>
  <si>
    <t>TXN000864</t>
  </si>
  <si>
    <t>CUST00865</t>
  </si>
  <si>
    <t>TXN000865</t>
  </si>
  <si>
    <t>CUST00866</t>
  </si>
  <si>
    <t>TXN000866</t>
  </si>
  <si>
    <t>CUST00867</t>
  </si>
  <si>
    <t>TXN000867</t>
  </si>
  <si>
    <t>CUST00868</t>
  </si>
  <si>
    <t>TXN000868</t>
  </si>
  <si>
    <t>CUST00869</t>
  </si>
  <si>
    <t>TXN000869</t>
  </si>
  <si>
    <t>CUST00870</t>
  </si>
  <si>
    <t>TXN000870</t>
  </si>
  <si>
    <t>CUST00871</t>
  </si>
  <si>
    <t>TXN000871</t>
  </si>
  <si>
    <t>CUST00872</t>
  </si>
  <si>
    <t>TXN000872</t>
  </si>
  <si>
    <t>CUST00873</t>
  </si>
  <si>
    <t>TXN000873</t>
  </si>
  <si>
    <t>CUST00874</t>
  </si>
  <si>
    <t>TXN000874</t>
  </si>
  <si>
    <t>CUST00875</t>
  </si>
  <si>
    <t>TXN000875</t>
  </si>
  <si>
    <t>CUST00876</t>
  </si>
  <si>
    <t>TXN000876</t>
  </si>
  <si>
    <t>CUST00877</t>
  </si>
  <si>
    <t>TXN000877</t>
  </si>
  <si>
    <t>CUST00878</t>
  </si>
  <si>
    <t>TXN000878</t>
  </si>
  <si>
    <t>CUST00879</t>
  </si>
  <si>
    <t>TXN000879</t>
  </si>
  <si>
    <t>CUST00880</t>
  </si>
  <si>
    <t>TXN000880</t>
  </si>
  <si>
    <t>CUST00881</t>
  </si>
  <si>
    <t>TXN000881</t>
  </si>
  <si>
    <t>CUST00882</t>
  </si>
  <si>
    <t>TXN000882</t>
  </si>
  <si>
    <t>CUST00883</t>
  </si>
  <si>
    <t>TXN000883</t>
  </si>
  <si>
    <t>CUST00884</t>
  </si>
  <si>
    <t>TXN000884</t>
  </si>
  <si>
    <t>CUST00885</t>
  </si>
  <si>
    <t>TXN000885</t>
  </si>
  <si>
    <t>CUST00886</t>
  </si>
  <si>
    <t>TXN000886</t>
  </si>
  <si>
    <t>CUST00887</t>
  </si>
  <si>
    <t>TXN000887</t>
  </si>
  <si>
    <t>CUST00888</t>
  </si>
  <si>
    <t>TXN000888</t>
  </si>
  <si>
    <t>CUST00889</t>
  </si>
  <si>
    <t>TXN000889</t>
  </si>
  <si>
    <t>CUST00890</t>
  </si>
  <si>
    <t>Manoj Verma</t>
  </si>
  <si>
    <t>TXN000890</t>
  </si>
  <si>
    <t>CUST00891</t>
  </si>
  <si>
    <t>TXN000891</t>
  </si>
  <si>
    <t>CUST00892</t>
  </si>
  <si>
    <t>TXN000892</t>
  </si>
  <si>
    <t>CUST00893</t>
  </si>
  <si>
    <t>TXN000893</t>
  </si>
  <si>
    <t>CUST00894</t>
  </si>
  <si>
    <t>TXN000894</t>
  </si>
  <si>
    <t>CUST00895</t>
  </si>
  <si>
    <t>TXN000895</t>
  </si>
  <si>
    <t>CUST00896</t>
  </si>
  <si>
    <t>TXN000896</t>
  </si>
  <si>
    <t>CUST00897</t>
  </si>
  <si>
    <t>TXN000897</t>
  </si>
  <si>
    <t>CUST00898</t>
  </si>
  <si>
    <t>TXN000898</t>
  </si>
  <si>
    <t>CUST00899</t>
  </si>
  <si>
    <t>TXN000899</t>
  </si>
  <si>
    <t>CUST00900</t>
  </si>
  <si>
    <t>TXN000900</t>
  </si>
  <si>
    <t>CUST00901</t>
  </si>
  <si>
    <t>TXN000901</t>
  </si>
  <si>
    <t>CUST00902</t>
  </si>
  <si>
    <t>TXN000902</t>
  </si>
  <si>
    <t>CUST00903</t>
  </si>
  <si>
    <t>TXN000903</t>
  </si>
  <si>
    <t>CUST00904</t>
  </si>
  <si>
    <t>TXN000904</t>
  </si>
  <si>
    <t>CUST00905</t>
  </si>
  <si>
    <t>TXN000905</t>
  </si>
  <si>
    <t>CUST00906</t>
  </si>
  <si>
    <t>TXN000906</t>
  </si>
  <si>
    <t>CUST00907</t>
  </si>
  <si>
    <t>TXN000907</t>
  </si>
  <si>
    <t>CUST00908</t>
  </si>
  <si>
    <t>TXN000908</t>
  </si>
  <si>
    <t>CUST00909</t>
  </si>
  <si>
    <t>TXN000909</t>
  </si>
  <si>
    <t>CUST00910</t>
  </si>
  <si>
    <t>TXN000910</t>
  </si>
  <si>
    <t>CUST00911</t>
  </si>
  <si>
    <t>TXN000911</t>
  </si>
  <si>
    <t>CUST00912</t>
  </si>
  <si>
    <t>TXN000912</t>
  </si>
  <si>
    <t>CUST00913</t>
  </si>
  <si>
    <t>TXN000913</t>
  </si>
  <si>
    <t>CUST00914</t>
  </si>
  <si>
    <t>TXN000914</t>
  </si>
  <si>
    <t>CUST00915</t>
  </si>
  <si>
    <t>TXN000915</t>
  </si>
  <si>
    <t>CUST00916</t>
  </si>
  <si>
    <t>TXN000916</t>
  </si>
  <si>
    <t>CUST00917</t>
  </si>
  <si>
    <t>TXN000917</t>
  </si>
  <si>
    <t>CUST00918</t>
  </si>
  <si>
    <t>TXN000918</t>
  </si>
  <si>
    <t>CUST00919</t>
  </si>
  <si>
    <t>TXN000919</t>
  </si>
  <si>
    <t>CUST00920</t>
  </si>
  <si>
    <t>TXN000920</t>
  </si>
  <si>
    <t>CUST00921</t>
  </si>
  <si>
    <t>TXN000921</t>
  </si>
  <si>
    <t>CUST00922</t>
  </si>
  <si>
    <t>TXN000922</t>
  </si>
  <si>
    <t>CUST00923</t>
  </si>
  <si>
    <t>TXN000923</t>
  </si>
  <si>
    <t>CUST00924</t>
  </si>
  <si>
    <t>TXN000924</t>
  </si>
  <si>
    <t>CUST00925</t>
  </si>
  <si>
    <t>TXN000925</t>
  </si>
  <si>
    <t>CUST00926</t>
  </si>
  <si>
    <t>TXN000926</t>
  </si>
  <si>
    <t>CUST00927</t>
  </si>
  <si>
    <t>TXN000927</t>
  </si>
  <si>
    <t>CUST00928</t>
  </si>
  <si>
    <t>TXN000928</t>
  </si>
  <si>
    <t>CUST00929</t>
  </si>
  <si>
    <t>TXN000929</t>
  </si>
  <si>
    <t>CUST00930</t>
  </si>
  <si>
    <t>TXN000930</t>
  </si>
  <si>
    <t>CUST00931</t>
  </si>
  <si>
    <t>TXN000931</t>
  </si>
  <si>
    <t>CUST00932</t>
  </si>
  <si>
    <t>TXN000932</t>
  </si>
  <si>
    <t>CUST00933</t>
  </si>
  <si>
    <t>TXN000933</t>
  </si>
  <si>
    <t>CUST00934</t>
  </si>
  <si>
    <t>TXN000934</t>
  </si>
  <si>
    <t>CUST00935</t>
  </si>
  <si>
    <t>TXN000935</t>
  </si>
  <si>
    <t>CUST00936</t>
  </si>
  <si>
    <t>TXN000936</t>
  </si>
  <si>
    <t>CUST00937</t>
  </si>
  <si>
    <t>TXN000937</t>
  </si>
  <si>
    <t>CUST00938</t>
  </si>
  <si>
    <t>TXN000938</t>
  </si>
  <si>
    <t>CUST00939</t>
  </si>
  <si>
    <t>TXN000939</t>
  </si>
  <si>
    <t>CUST00940</t>
  </si>
  <si>
    <t>TXN000940</t>
  </si>
  <si>
    <t>CUST00941</t>
  </si>
  <si>
    <t>TXN000941</t>
  </si>
  <si>
    <t>CUST00942</t>
  </si>
  <si>
    <t>TXN000942</t>
  </si>
  <si>
    <t>CUST00943</t>
  </si>
  <si>
    <t>TXN000943</t>
  </si>
  <si>
    <t>CUST00944</t>
  </si>
  <si>
    <t>TXN000944</t>
  </si>
  <si>
    <t>CUST00945</t>
  </si>
  <si>
    <t>TXN000945</t>
  </si>
  <si>
    <t>CUST00946</t>
  </si>
  <si>
    <t>TXN000946</t>
  </si>
  <si>
    <t>CUST00947</t>
  </si>
  <si>
    <t>TXN000947</t>
  </si>
  <si>
    <t>CUST00948</t>
  </si>
  <si>
    <t>TXN000948</t>
  </si>
  <si>
    <t>CUST00949</t>
  </si>
  <si>
    <t>TXN000949</t>
  </si>
  <si>
    <t>CUST00950</t>
  </si>
  <si>
    <t>TXN000950</t>
  </si>
  <si>
    <t>CUST00951</t>
  </si>
  <si>
    <t>TXN000951</t>
  </si>
  <si>
    <t>CUST00952</t>
  </si>
  <si>
    <t>TXN000952</t>
  </si>
  <si>
    <t>CUST00953</t>
  </si>
  <si>
    <t>TXN000953</t>
  </si>
  <si>
    <t>CUST00954</t>
  </si>
  <si>
    <t>TXN000954</t>
  </si>
  <si>
    <t>CUST00955</t>
  </si>
  <si>
    <t>TXN000955</t>
  </si>
  <si>
    <t>CUST00956</t>
  </si>
  <si>
    <t>TXN000956</t>
  </si>
  <si>
    <t>CUST00957</t>
  </si>
  <si>
    <t>TXN000957</t>
  </si>
  <si>
    <t>CUST00958</t>
  </si>
  <si>
    <t>TXN000958</t>
  </si>
  <si>
    <t>CUST00959</t>
  </si>
  <si>
    <t>TXN000959</t>
  </si>
  <si>
    <t>CUST00960</t>
  </si>
  <si>
    <t>TXN000960</t>
  </si>
  <si>
    <t>CUST00961</t>
  </si>
  <si>
    <t>TXN000961</t>
  </si>
  <si>
    <t>CUST00962</t>
  </si>
  <si>
    <t>TXN000962</t>
  </si>
  <si>
    <t>CUST00963</t>
  </si>
  <si>
    <t>TXN000963</t>
  </si>
  <si>
    <t>CUST00964</t>
  </si>
  <si>
    <t>TXN000964</t>
  </si>
  <si>
    <t>CUST00965</t>
  </si>
  <si>
    <t>TXN000965</t>
  </si>
  <si>
    <t>CUST00966</t>
  </si>
  <si>
    <t>TXN000966</t>
  </si>
  <si>
    <t>CUST00967</t>
  </si>
  <si>
    <t>TXN000967</t>
  </si>
  <si>
    <t>CUST00968</t>
  </si>
  <si>
    <t>TXN000968</t>
  </si>
  <si>
    <t>CUST00969</t>
  </si>
  <si>
    <t>TXN000969</t>
  </si>
  <si>
    <t>CUST00970</t>
  </si>
  <si>
    <t>TXN000970</t>
  </si>
  <si>
    <t>CUST00971</t>
  </si>
  <si>
    <t>TXN000971</t>
  </si>
  <si>
    <t>CUST00972</t>
  </si>
  <si>
    <t>TXN000972</t>
  </si>
  <si>
    <t>CUST00973</t>
  </si>
  <si>
    <t>TXN000973</t>
  </si>
  <si>
    <t>CUST00974</t>
  </si>
  <si>
    <t>TXN000974</t>
  </si>
  <si>
    <t>CUST00975</t>
  </si>
  <si>
    <t>TXN000975</t>
  </si>
  <si>
    <t>CUST00976</t>
  </si>
  <si>
    <t>TXN000976</t>
  </si>
  <si>
    <t>CUST00977</t>
  </si>
  <si>
    <t>TXN000977</t>
  </si>
  <si>
    <t>CUST00978</t>
  </si>
  <si>
    <t>TXN000978</t>
  </si>
  <si>
    <t>CUST00979</t>
  </si>
  <si>
    <t>TXN000979</t>
  </si>
  <si>
    <t>CUST00980</t>
  </si>
  <si>
    <t>TXN000980</t>
  </si>
  <si>
    <t>CUST00981</t>
  </si>
  <si>
    <t>TXN000981</t>
  </si>
  <si>
    <t>CUST00982</t>
  </si>
  <si>
    <t>TXN000982</t>
  </si>
  <si>
    <t>CUST00983</t>
  </si>
  <si>
    <t>TXN000983</t>
  </si>
  <si>
    <t>CUST00984</t>
  </si>
  <si>
    <t>TXN000984</t>
  </si>
  <si>
    <t>CUST00985</t>
  </si>
  <si>
    <t>TXN000985</t>
  </si>
  <si>
    <t>CUST00986</t>
  </si>
  <si>
    <t>TXN000986</t>
  </si>
  <si>
    <t>CUST00987</t>
  </si>
  <si>
    <t>TXN000987</t>
  </si>
  <si>
    <t>CUST00988</t>
  </si>
  <si>
    <t>TXN000988</t>
  </si>
  <si>
    <t>CUST00989</t>
  </si>
  <si>
    <t>TXN000989</t>
  </si>
  <si>
    <t>CUST00990</t>
  </si>
  <si>
    <t>TXN000990</t>
  </si>
  <si>
    <t>CUST00991</t>
  </si>
  <si>
    <t>TXN000991</t>
  </si>
  <si>
    <t>CUST00992</t>
  </si>
  <si>
    <t>TXN000992</t>
  </si>
  <si>
    <t>CUST00993</t>
  </si>
  <si>
    <t>TXN000993</t>
  </si>
  <si>
    <t>CUST00994</t>
  </si>
  <si>
    <t>TXN000994</t>
  </si>
  <si>
    <t>CUST00995</t>
  </si>
  <si>
    <t>TXN000995</t>
  </si>
  <si>
    <t>CUST00996</t>
  </si>
  <si>
    <t>TXN000996</t>
  </si>
  <si>
    <t>CUST00997</t>
  </si>
  <si>
    <t>TXN000997</t>
  </si>
  <si>
    <t>CUST00998</t>
  </si>
  <si>
    <t>TXN000998</t>
  </si>
  <si>
    <t>CUST00999</t>
  </si>
  <si>
    <t>TXN000999</t>
  </si>
  <si>
    <t>CUST01000</t>
  </si>
  <si>
    <t>TXN001000</t>
  </si>
  <si>
    <t>CUST01001</t>
  </si>
  <si>
    <t>TXN001001</t>
  </si>
  <si>
    <t>CUST01002</t>
  </si>
  <si>
    <t>TXN001002</t>
  </si>
  <si>
    <t>CUST01003</t>
  </si>
  <si>
    <t>TXN001003</t>
  </si>
  <si>
    <t>CUST01004</t>
  </si>
  <si>
    <t>TXN001004</t>
  </si>
  <si>
    <t>CUST01005</t>
  </si>
  <si>
    <t>TXN001005</t>
  </si>
  <si>
    <t>CUST01006</t>
  </si>
  <si>
    <t>TXN001006</t>
  </si>
  <si>
    <t>CUST01007</t>
  </si>
  <si>
    <t>TXN001007</t>
  </si>
  <si>
    <t>CUST01008</t>
  </si>
  <si>
    <t>TXN001008</t>
  </si>
  <si>
    <t>CUST01009</t>
  </si>
  <si>
    <t>TXN001009</t>
  </si>
  <si>
    <t>CUST01010</t>
  </si>
  <si>
    <t>TXN001010</t>
  </si>
  <si>
    <t>CUST01011</t>
  </si>
  <si>
    <t>TXN001011</t>
  </si>
  <si>
    <t>CUST01012</t>
  </si>
  <si>
    <t>TXN001012</t>
  </si>
  <si>
    <t>CUST01013</t>
  </si>
  <si>
    <t>TXN001013</t>
  </si>
  <si>
    <t>CUST01014</t>
  </si>
  <si>
    <t>TXN001014</t>
  </si>
  <si>
    <t>CUST01015</t>
  </si>
  <si>
    <t>TXN001015</t>
  </si>
  <si>
    <t>CUST01016</t>
  </si>
  <si>
    <t>TXN001016</t>
  </si>
  <si>
    <t>CUST01017</t>
  </si>
  <si>
    <t>TXN001017</t>
  </si>
  <si>
    <t>CUST01018</t>
  </si>
  <si>
    <t>TXN001018</t>
  </si>
  <si>
    <t>CUST01019</t>
  </si>
  <si>
    <t>TXN001019</t>
  </si>
  <si>
    <t>CUST01020</t>
  </si>
  <si>
    <t>TXN001020</t>
  </si>
  <si>
    <t>CUST01021</t>
  </si>
  <si>
    <t>TXN001021</t>
  </si>
  <si>
    <t>CUST01022</t>
  </si>
  <si>
    <t>TXN001022</t>
  </si>
  <si>
    <t>CUST01023</t>
  </si>
  <si>
    <t>TXN001023</t>
  </si>
  <si>
    <t>CUST01024</t>
  </si>
  <si>
    <t>TXN001024</t>
  </si>
  <si>
    <t>CUST01025</t>
  </si>
  <si>
    <t>TXN001025</t>
  </si>
  <si>
    <t>CUST01026</t>
  </si>
  <si>
    <t>TXN001026</t>
  </si>
  <si>
    <t>CUST01027</t>
  </si>
  <si>
    <t>TXN001027</t>
  </si>
  <si>
    <t>CUST01028</t>
  </si>
  <si>
    <t>TXN001028</t>
  </si>
  <si>
    <t>CUST01029</t>
  </si>
  <si>
    <t>TXN001029</t>
  </si>
  <si>
    <t>CUST01030</t>
  </si>
  <si>
    <t>TXN001030</t>
  </si>
  <si>
    <t>CUST01031</t>
  </si>
  <si>
    <t>TXN001031</t>
  </si>
  <si>
    <t>CUST01032</t>
  </si>
  <si>
    <t>TXN001032</t>
  </si>
  <si>
    <t>CUST01033</t>
  </si>
  <si>
    <t>TXN001033</t>
  </si>
  <si>
    <t>CUST01034</t>
  </si>
  <si>
    <t>TXN001034</t>
  </si>
  <si>
    <t>CUST01035</t>
  </si>
  <si>
    <t>TXN001035</t>
  </si>
  <si>
    <t>CUST01036</t>
  </si>
  <si>
    <t>TXN001036</t>
  </si>
  <si>
    <t>CUST01037</t>
  </si>
  <si>
    <t>TXN001037</t>
  </si>
  <si>
    <t>CUST01038</t>
  </si>
  <si>
    <t>TXN001038</t>
  </si>
  <si>
    <t>CUST01039</t>
  </si>
  <si>
    <t>TXN001039</t>
  </si>
  <si>
    <t>CUST01040</t>
  </si>
  <si>
    <t>TXN001040</t>
  </si>
  <si>
    <t>CUST01041</t>
  </si>
  <si>
    <t>TXN001041</t>
  </si>
  <si>
    <t>CUST01042</t>
  </si>
  <si>
    <t>TXN001042</t>
  </si>
  <si>
    <t>CUST01043</t>
  </si>
  <si>
    <t>TXN001043</t>
  </si>
  <si>
    <t>CUST01044</t>
  </si>
  <si>
    <t>TXN001044</t>
  </si>
  <si>
    <t>CUST01045</t>
  </si>
  <si>
    <t>TXN001045</t>
  </si>
  <si>
    <t>CUST01046</t>
  </si>
  <si>
    <t>TXN001046</t>
  </si>
  <si>
    <t>CUST01047</t>
  </si>
  <si>
    <t>TXN001047</t>
  </si>
  <si>
    <t>CUST01048</t>
  </si>
  <si>
    <t>TXN001048</t>
  </si>
  <si>
    <t>CUST01049</t>
  </si>
  <si>
    <t>TXN001049</t>
  </si>
  <si>
    <t>CUST01050</t>
  </si>
  <si>
    <t>TXN001050</t>
  </si>
  <si>
    <t>CUST01051</t>
  </si>
  <si>
    <t>TXN001051</t>
  </si>
  <si>
    <t>CUST01052</t>
  </si>
  <si>
    <t>TXN001052</t>
  </si>
  <si>
    <t>CUST01053</t>
  </si>
  <si>
    <t>TXN001053</t>
  </si>
  <si>
    <t>CUST01054</t>
  </si>
  <si>
    <t>TXN001054</t>
  </si>
  <si>
    <t>CUST01055</t>
  </si>
  <si>
    <t>TXN001055</t>
  </si>
  <si>
    <t>CUST01056</t>
  </si>
  <si>
    <t>TXN001056</t>
  </si>
  <si>
    <t>CUST01057</t>
  </si>
  <si>
    <t>TXN001057</t>
  </si>
  <si>
    <t>CUST01058</t>
  </si>
  <si>
    <t>TXN001058</t>
  </si>
  <si>
    <t>CUST01059</t>
  </si>
  <si>
    <t>TXN001059</t>
  </si>
  <si>
    <t>CUST01060</t>
  </si>
  <si>
    <t>TXN001060</t>
  </si>
  <si>
    <t>CUST01061</t>
  </si>
  <si>
    <t>TXN001061</t>
  </si>
  <si>
    <t>CUST01062</t>
  </si>
  <si>
    <t>TXN001062</t>
  </si>
  <si>
    <t>CUST01063</t>
  </si>
  <si>
    <t>TXN001063</t>
  </si>
  <si>
    <t>CUST01064</t>
  </si>
  <si>
    <t>TXN001064</t>
  </si>
  <si>
    <t>CUST01065</t>
  </si>
  <si>
    <t>TXN001065</t>
  </si>
  <si>
    <t>CUST01066</t>
  </si>
  <si>
    <t>TXN001066</t>
  </si>
  <si>
    <t>CUST01067</t>
  </si>
  <si>
    <t>TXN001067</t>
  </si>
  <si>
    <t>CUST01068</t>
  </si>
  <si>
    <t>TXN001068</t>
  </si>
  <si>
    <t>CUST01069</t>
  </si>
  <si>
    <t>TXN001069</t>
  </si>
  <si>
    <t>CUST01070</t>
  </si>
  <si>
    <t>TXN001070</t>
  </si>
  <si>
    <t>CUST01071</t>
  </si>
  <si>
    <t>TXN001071</t>
  </si>
  <si>
    <t>CUST01072</t>
  </si>
  <si>
    <t>TXN001072</t>
  </si>
  <si>
    <t>CUST01073</t>
  </si>
  <si>
    <t>TXN001073</t>
  </si>
  <si>
    <t>CUST01074</t>
  </si>
  <si>
    <t>TXN001074</t>
  </si>
  <si>
    <t>CUST01075</t>
  </si>
  <si>
    <t>TXN001075</t>
  </si>
  <si>
    <t>CUST01076</t>
  </si>
  <si>
    <t>TXN001076</t>
  </si>
  <si>
    <t>CUST01077</t>
  </si>
  <si>
    <t>TXN001077</t>
  </si>
  <si>
    <t>CUST01078</t>
  </si>
  <si>
    <t>TXN001078</t>
  </si>
  <si>
    <t>CUST01079</t>
  </si>
  <si>
    <t>TXN001079</t>
  </si>
  <si>
    <t>CUST01080</t>
  </si>
  <si>
    <t>TXN001080</t>
  </si>
  <si>
    <t>CUST01081</t>
  </si>
  <si>
    <t>TXN001081</t>
  </si>
  <si>
    <t>CUST01082</t>
  </si>
  <si>
    <t>TXN001082</t>
  </si>
  <si>
    <t>CUST01083</t>
  </si>
  <si>
    <t>TXN001083</t>
  </si>
  <si>
    <t>CUST01084</t>
  </si>
  <si>
    <t>TXN001084</t>
  </si>
  <si>
    <t>CUST01085</t>
  </si>
  <si>
    <t>TXN001085</t>
  </si>
  <si>
    <t>CUST01086</t>
  </si>
  <si>
    <t>TXN001086</t>
  </si>
  <si>
    <t>CUST01087</t>
  </si>
  <si>
    <t>TXN001087</t>
  </si>
  <si>
    <t>CUST01088</t>
  </si>
  <si>
    <t>TXN001088</t>
  </si>
  <si>
    <t>CUST01089</t>
  </si>
  <si>
    <t>TXN001089</t>
  </si>
  <si>
    <t>CUST01090</t>
  </si>
  <si>
    <t>TXN001090</t>
  </si>
  <si>
    <t>CUST01091</t>
  </si>
  <si>
    <t>TXN001091</t>
  </si>
  <si>
    <t>CUST01092</t>
  </si>
  <si>
    <t>TXN001092</t>
  </si>
  <si>
    <t>CUST01093</t>
  </si>
  <si>
    <t>TXN001093</t>
  </si>
  <si>
    <t>CUST01094</t>
  </si>
  <si>
    <t>TXN001094</t>
  </si>
  <si>
    <t>CUST01095</t>
  </si>
  <si>
    <t>TXN001095</t>
  </si>
  <si>
    <t>CUST01096</t>
  </si>
  <si>
    <t>TXN001096</t>
  </si>
  <si>
    <t>CUST01097</t>
  </si>
  <si>
    <t>TXN001097</t>
  </si>
  <si>
    <t>CUST01098</t>
  </si>
  <si>
    <t>TXN001098</t>
  </si>
  <si>
    <t>CUST01099</t>
  </si>
  <si>
    <t>TXN001099</t>
  </si>
  <si>
    <t>CUST01100</t>
  </si>
  <si>
    <t>TXN001100</t>
  </si>
  <si>
    <t>CUST01101</t>
  </si>
  <si>
    <t>TXN001101</t>
  </si>
  <si>
    <t>CUST01102</t>
  </si>
  <si>
    <t>TXN001102</t>
  </si>
  <si>
    <t>CUST01103</t>
  </si>
  <si>
    <t>TXN001103</t>
  </si>
  <si>
    <t>CUST01104</t>
  </si>
  <si>
    <t>TXN001104</t>
  </si>
  <si>
    <t>CUST01105</t>
  </si>
  <si>
    <t>TXN001105</t>
  </si>
  <si>
    <t>CUST01106</t>
  </si>
  <si>
    <t>TXN001106</t>
  </si>
  <si>
    <t>CUST01107</t>
  </si>
  <si>
    <t>TXN001107</t>
  </si>
  <si>
    <t>CUST01108</t>
  </si>
  <si>
    <t>TXN001108</t>
  </si>
  <si>
    <t>CUST01109</t>
  </si>
  <si>
    <t>TXN001109</t>
  </si>
  <si>
    <t>CUST01110</t>
  </si>
  <si>
    <t>TXN001110</t>
  </si>
  <si>
    <t>CUST01111</t>
  </si>
  <si>
    <t>TXN001111</t>
  </si>
  <si>
    <t>CUST01112</t>
  </si>
  <si>
    <t>TXN001112</t>
  </si>
  <si>
    <t>CUST01113</t>
  </si>
  <si>
    <t>TXN001113</t>
  </si>
  <si>
    <t>CUST01114</t>
  </si>
  <si>
    <t>TXN001114</t>
  </si>
  <si>
    <t>CUST01115</t>
  </si>
  <si>
    <t>TXN001115</t>
  </si>
  <si>
    <t>CUST01116</t>
  </si>
  <si>
    <t>TXN001116</t>
  </si>
  <si>
    <t>CUST01117</t>
  </si>
  <si>
    <t>TXN001117</t>
  </si>
  <si>
    <t>CUST01118</t>
  </si>
  <si>
    <t>TXN001118</t>
  </si>
  <si>
    <t>CUST01119</t>
  </si>
  <si>
    <t>TXN001119</t>
  </si>
  <si>
    <t>CUST01120</t>
  </si>
  <si>
    <t>TXN001120</t>
  </si>
  <si>
    <t>CUST01121</t>
  </si>
  <si>
    <t>TXN001121</t>
  </si>
  <si>
    <t>CUST01122</t>
  </si>
  <si>
    <t>TXN001122</t>
  </si>
  <si>
    <t>CUST01123</t>
  </si>
  <si>
    <t>TXN001123</t>
  </si>
  <si>
    <t>CUST01124</t>
  </si>
  <si>
    <t>TXN001124</t>
  </si>
  <si>
    <t>CUST01125</t>
  </si>
  <si>
    <t>TXN001125</t>
  </si>
  <si>
    <t>CUST01126</t>
  </si>
  <si>
    <t>TXN001126</t>
  </si>
  <si>
    <t>CUST01127</t>
  </si>
  <si>
    <t>TXN001127</t>
  </si>
  <si>
    <t>CUST01128</t>
  </si>
  <si>
    <t>TXN001128</t>
  </si>
  <si>
    <t>CUST01129</t>
  </si>
  <si>
    <t>TXN001129</t>
  </si>
  <si>
    <t>CUST01130</t>
  </si>
  <si>
    <t>TXN001130</t>
  </si>
  <si>
    <t>CUST01131</t>
  </si>
  <si>
    <t>TXN001131</t>
  </si>
  <si>
    <t>CUST01132</t>
  </si>
  <si>
    <t>TXN001132</t>
  </si>
  <si>
    <t>CUST01133</t>
  </si>
  <si>
    <t>TXN001133</t>
  </si>
  <si>
    <t>CUST01134</t>
  </si>
  <si>
    <t>TXN001134</t>
  </si>
  <si>
    <t>CUST01135</t>
  </si>
  <si>
    <t>TXN001135</t>
  </si>
  <si>
    <t>CUST01136</t>
  </si>
  <si>
    <t>TXN001136</t>
  </si>
  <si>
    <t>CUST01137</t>
  </si>
  <si>
    <t>TXN001137</t>
  </si>
  <si>
    <t>CUST01138</t>
  </si>
  <si>
    <t>TXN001138</t>
  </si>
  <si>
    <t>CUST01139</t>
  </si>
  <si>
    <t>TXN001139</t>
  </si>
  <si>
    <t>CUST01140</t>
  </si>
  <si>
    <t>TXN001140</t>
  </si>
  <si>
    <t>CUST01141</t>
  </si>
  <si>
    <t>TXN001141</t>
  </si>
  <si>
    <t>CUST01142</t>
  </si>
  <si>
    <t>TXN001142</t>
  </si>
  <si>
    <t>CUST01143</t>
  </si>
  <si>
    <t>TXN001143</t>
  </si>
  <si>
    <t>CUST01144</t>
  </si>
  <si>
    <t>TXN001144</t>
  </si>
  <si>
    <t>CUST01145</t>
  </si>
  <si>
    <t>TXN001145</t>
  </si>
  <si>
    <t>CUST01146</t>
  </si>
  <si>
    <t>TXN001146</t>
  </si>
  <si>
    <t>CUST01147</t>
  </si>
  <si>
    <t>TXN001147</t>
  </si>
  <si>
    <t>CUST01148</t>
  </si>
  <si>
    <t>TXN001148</t>
  </si>
  <si>
    <t>CUST01149</t>
  </si>
  <si>
    <t>TXN001149</t>
  </si>
  <si>
    <t>CUST01150</t>
  </si>
  <si>
    <t>TXN001150</t>
  </si>
  <si>
    <t>CUST01151</t>
  </si>
  <si>
    <t>TXN001151</t>
  </si>
  <si>
    <t>CUST01152</t>
  </si>
  <si>
    <t>TXN001152</t>
  </si>
  <si>
    <t>CUST01153</t>
  </si>
  <si>
    <t>TXN001153</t>
  </si>
  <si>
    <t>CUST01154</t>
  </si>
  <si>
    <t>TXN001154</t>
  </si>
  <si>
    <t>CUST01155</t>
  </si>
  <si>
    <t>TXN001155</t>
  </si>
  <si>
    <t>CUST01156</t>
  </si>
  <si>
    <t>TXN001156</t>
  </si>
  <si>
    <t>CUST01157</t>
  </si>
  <si>
    <t>TXN001157</t>
  </si>
  <si>
    <t>CUST01158</t>
  </si>
  <si>
    <t>TXN001158</t>
  </si>
  <si>
    <t>CUST01159</t>
  </si>
  <si>
    <t>Rohan Nair</t>
  </si>
  <si>
    <t>TXN001159</t>
  </si>
  <si>
    <t>CUST01160</t>
  </si>
  <si>
    <t>TXN001160</t>
  </si>
  <si>
    <t>CUST01161</t>
  </si>
  <si>
    <t>TXN001161</t>
  </si>
  <si>
    <t>CUST01162</t>
  </si>
  <si>
    <t>TXN001162</t>
  </si>
  <si>
    <t>CUST01163</t>
  </si>
  <si>
    <t>TXN001163</t>
  </si>
  <si>
    <t>CUST01164</t>
  </si>
  <si>
    <t>TXN001164</t>
  </si>
  <si>
    <t>CUST01165</t>
  </si>
  <si>
    <t>TXN001165</t>
  </si>
  <si>
    <t>CUST01166</t>
  </si>
  <si>
    <t>TXN001166</t>
  </si>
  <si>
    <t>CUST01167</t>
  </si>
  <si>
    <t>TXN001167</t>
  </si>
  <si>
    <t>CUST01168</t>
  </si>
  <si>
    <t>TXN001168</t>
  </si>
  <si>
    <t>CUST01169</t>
  </si>
  <si>
    <t>TXN001169</t>
  </si>
  <si>
    <t>CUST01170</t>
  </si>
  <si>
    <t>TXN001170</t>
  </si>
  <si>
    <t>CUST01171</t>
  </si>
  <si>
    <t>TXN001171</t>
  </si>
  <si>
    <t>CUST01172</t>
  </si>
  <si>
    <t>TXN001172</t>
  </si>
  <si>
    <t>CUST01173</t>
  </si>
  <si>
    <t>TXN001173</t>
  </si>
  <si>
    <t>CUST01174</t>
  </si>
  <si>
    <t>TXN001174</t>
  </si>
  <si>
    <t>CUST01175</t>
  </si>
  <si>
    <t>TXN001175</t>
  </si>
  <si>
    <t>CUST01176</t>
  </si>
  <si>
    <t>TXN001176</t>
  </si>
  <si>
    <t>CUST01177</t>
  </si>
  <si>
    <t>TXN001177</t>
  </si>
  <si>
    <t>CUST01178</t>
  </si>
  <si>
    <t>TXN001178</t>
  </si>
  <si>
    <t>CUST01179</t>
  </si>
  <si>
    <t>TXN001179</t>
  </si>
  <si>
    <t>CUST01180</t>
  </si>
  <si>
    <t>TXN001180</t>
  </si>
  <si>
    <t>CUST01181</t>
  </si>
  <si>
    <t>TXN001181</t>
  </si>
  <si>
    <t>CUST01182</t>
  </si>
  <si>
    <t>TXN001182</t>
  </si>
  <si>
    <t>CUST01183</t>
  </si>
  <si>
    <t>TXN001183</t>
  </si>
  <si>
    <t>CUST01184</t>
  </si>
  <si>
    <t>TXN001184</t>
  </si>
  <si>
    <t>CUST01185</t>
  </si>
  <si>
    <t>TXN001185</t>
  </si>
  <si>
    <t>CUST01186</t>
  </si>
  <si>
    <t>TXN001186</t>
  </si>
  <si>
    <t>CUST01187</t>
  </si>
  <si>
    <t>TXN001187</t>
  </si>
  <si>
    <t>CUST01188</t>
  </si>
  <si>
    <t>TXN001188</t>
  </si>
  <si>
    <t>CUST01189</t>
  </si>
  <si>
    <t>TXN001189</t>
  </si>
  <si>
    <t>CUST01190</t>
  </si>
  <si>
    <t>TXN001190</t>
  </si>
  <si>
    <t>CUST01191</t>
  </si>
  <si>
    <t>Nikhil Patel</t>
  </si>
  <si>
    <t>TXN001191</t>
  </si>
  <si>
    <t>CUST01192</t>
  </si>
  <si>
    <t>TXN001192</t>
  </si>
  <si>
    <t>CUST01193</t>
  </si>
  <si>
    <t>TXN001193</t>
  </si>
  <si>
    <t>CUST01194</t>
  </si>
  <si>
    <t>TXN001194</t>
  </si>
  <si>
    <t>CUST01195</t>
  </si>
  <si>
    <t>TXN001195</t>
  </si>
  <si>
    <t>CUST01196</t>
  </si>
  <si>
    <t>TXN001196</t>
  </si>
  <si>
    <t>CUST01197</t>
  </si>
  <si>
    <t>TXN001197</t>
  </si>
  <si>
    <t>CUST01198</t>
  </si>
  <si>
    <t>TXN001198</t>
  </si>
  <si>
    <t>CUST01199</t>
  </si>
  <si>
    <t>TXN001199</t>
  </si>
  <si>
    <t>CUST01200</t>
  </si>
  <si>
    <t>TXN001200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</si>
</sst>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vertical="top"/>
    </xf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0" formatCode="General"/>
    </dxf>
    <dxf>
      <numFmt numFmtId="30" formatCode="@"/>
    </dxf>
    <dxf>
      <numFmt numFmtId="0" formatCode="General"/>
    </dxf>
    <dxf>
      <numFmt numFmtId="2" formatCode="0.00"/>
    </dxf>
    <dxf>
      <numFmt numFmtId="2" formatCode="0.00"/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04998-B593-4C3E-B958-F2B700FE24EC}" name="Table1" displayName="Table1" ref="A1:V1201" totalsRowShown="0" headerRowDxfId="29" headerRowBorderDxfId="27" tableBorderDxfId="28">
  <autoFilter ref="A1:V1201" xr:uid="{A162EF87-F8D4-4C5B-B6F1-48E87C0C475E}">
    <filterColumn colId="6">
      <filters>
        <filter val="Savings"/>
      </filters>
    </filterColumn>
  </autoFilter>
  <tableColumns count="22">
    <tableColumn id="1" xr3:uid="{D9EC7944-2BA7-4E4C-9222-A5ECE74D37D5}" name="Customer_ID"/>
    <tableColumn id="2" xr3:uid="{D084170B-D3ED-4279-B285-B8D116771C0E}" name="Customer_Name"/>
    <tableColumn id="3" xr3:uid="{9AB82D71-E16A-42D6-8B42-F0C846C60EDE}" name="Age"/>
    <tableColumn id="4" xr3:uid="{D64435AA-0FA2-45A0-8766-38166F3CD546}" name="City"/>
    <tableColumn id="5" xr3:uid="{23428CC7-0CAE-4581-8161-1076AF040150}" name="Branch_Code"/>
    <tableColumn id="6" xr3:uid="{41F0A2EC-5CE2-4DAC-9CDE-C72037D12C84}" name="Branch_Name"/>
    <tableColumn id="29" xr3:uid="{04638CC4-440E-44D8-A71D-B003A111D39F}" name="Account_Type"/>
    <tableColumn id="8" xr3:uid="{499BEDF9-E8B0-4B21-87A8-94BDA899B4CB}" name="Customer_Segment" dataDxfId="25" totalsRowDxfId="26"/>
    <tableColumn id="9" xr3:uid="{38271148-5E11-4E85-9B31-D8ED4073C81C}" name="Annual_Income" dataDxfId="23" totalsRowDxfId="24"/>
    <tableColumn id="10" xr3:uid="{5C39F0F6-351C-4C7D-AD82-EF1D1CAC76F0}" name="Account_Balance" dataDxfId="21" totalsRowDxfId="22"/>
    <tableColumn id="11" xr3:uid="{2097BC7C-AB8D-429E-A9AD-01EC0E76AECC}" name="Loan_Type" dataDxfId="19" totalsRowDxfId="20"/>
    <tableColumn id="12" xr3:uid="{24B5FF32-D626-4C5B-8F73-C940436677D6}" name="Loan_Amount" dataDxfId="17" totalsRowDxfId="18"/>
    <tableColumn id="13" xr3:uid="{3A61A11E-5C1F-459F-B1DB-B6048E177A75}" name="Loan_Status" dataDxfId="15" totalsRowDxfId="16"/>
    <tableColumn id="14" xr3:uid="{B00190CC-75B0-48B8-97EA-A3002DFBBBEB}" name="Outstanding_Loan" dataDxfId="13" totalsRowDxfId="14"/>
    <tableColumn id="15" xr3:uid="{F9B7A851-4BE2-4CA1-80A9-6B581BE73247}" name="Delayed_Payment" dataDxfId="11" totalsRowDxfId="12"/>
    <tableColumn id="27" xr3:uid="{FE56E4FD-7667-424D-844A-6F6B59FA6ACC}" name="Transaction Month" dataDxfId="10">
      <calculatedColumnFormula>TEXT(Table1[[#This Row],[Transaction_Date]],"mmm")</calculatedColumnFormula>
    </tableColumn>
    <tableColumn id="16" xr3:uid="{FAF8410A-142C-4F9B-B117-667CA0CFC60B}" name="Transaction_Date" dataDxfId="8" totalsRowDxfId="9"/>
    <tableColumn id="17" xr3:uid="{2A138196-BE8D-4EF9-82F5-AC475921ECF6}" name="Transaction_ID" dataDxfId="6" totalsRowDxfId="7"/>
    <tableColumn id="18" xr3:uid="{C64E451C-3D22-45A8-946B-42DE16384712}" name="Transaction_Type" dataDxfId="4" totalsRowDxfId="5"/>
    <tableColumn id="19" xr3:uid="{CB282F2B-2765-4A03-923E-BAF70C809515}" name="Transaction_Amount" dataDxfId="2" totalsRowDxfId="3"/>
    <tableColumn id="20" xr3:uid="{715AD096-046D-40F7-B1AD-6631DB7A4283}" name="Transaction_Channel"/>
    <tableColumn id="21" xr3:uid="{42B37F47-4621-46A8-ACAC-645AF27D99F4}" name="Transaction_Status" dataDxfId="0" totalsRow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1334-E7E1-4A8C-88D5-91227F94E599}">
  <dimension ref="A1:X1210"/>
  <sheetViews>
    <sheetView tabSelected="1" zoomScale="68" zoomScaleNormal="90" workbookViewId="0">
      <selection activeCell="B100" sqref="B100"/>
    </sheetView>
  </sheetViews>
  <sheetFormatPr defaultRowHeight="14.4" x14ac:dyDescent="0.3"/>
  <cols>
    <col min="1" max="1" width="17.77734375" customWidth="1"/>
    <col min="2" max="3" width="18.77734375" customWidth="1"/>
    <col min="4" max="4" width="8.6640625" bestFit="1" customWidth="1"/>
    <col min="5" max="5" width="10.6640625" bestFit="1" customWidth="1"/>
    <col min="6" max="6" width="14.109375" customWidth="1"/>
    <col min="7" max="8" width="14.77734375" customWidth="1"/>
    <col min="9" max="9" width="15" customWidth="1"/>
    <col min="10" max="10" width="19.44140625" style="8" customWidth="1"/>
    <col min="11" max="11" width="16.21875" style="9" customWidth="1"/>
    <col min="12" max="12" width="17.44140625" style="9" customWidth="1"/>
    <col min="13" max="13" width="13.6640625" style="8" bestFit="1" customWidth="1"/>
    <col min="14" max="14" width="14.88671875" style="10" customWidth="1"/>
    <col min="15" max="15" width="13.21875" style="8" customWidth="1"/>
    <col min="16" max="17" width="18.33203125" style="9" customWidth="1"/>
    <col min="18" max="18" width="18.21875" customWidth="1"/>
    <col min="19" max="19" width="18.109375" style="11" bestFit="1" customWidth="1"/>
    <col min="20" max="20" width="15.44140625" style="8" customWidth="1"/>
    <col min="21" max="21" width="17.77734375" style="8" customWidth="1"/>
    <col min="22" max="22" width="20.5546875" customWidth="1"/>
    <col min="23" max="23" width="20.5546875" style="8" customWidth="1"/>
    <col min="24" max="24" width="18.88671875" style="8" customWidth="1"/>
  </cols>
  <sheetData>
    <row r="1" spans="1:24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  <c r="J1" s="3" t="s">
        <v>9</v>
      </c>
      <c r="K1" s="1" t="s">
        <v>10</v>
      </c>
      <c r="L1" s="5" t="s">
        <v>11</v>
      </c>
      <c r="M1" s="1" t="s">
        <v>12</v>
      </c>
      <c r="N1" s="3" t="s">
        <v>13</v>
      </c>
      <c r="O1" s="1" t="s">
        <v>14</v>
      </c>
      <c r="P1" s="6" t="s">
        <v>15</v>
      </c>
      <c r="Q1" s="7" t="s">
        <v>16</v>
      </c>
      <c r="R1" s="1" t="s">
        <v>17</v>
      </c>
      <c r="S1" s="1" t="s">
        <v>18</v>
      </c>
      <c r="T1" s="3" t="s">
        <v>19</v>
      </c>
      <c r="U1" s="6" t="s">
        <v>20</v>
      </c>
      <c r="V1" s="1" t="s">
        <v>21</v>
      </c>
      <c r="W1"/>
      <c r="X1"/>
    </row>
    <row r="2" spans="1:24" hidden="1" x14ac:dyDescent="0.3">
      <c r="A2" t="s">
        <v>22</v>
      </c>
      <c r="B2" t="s">
        <v>23</v>
      </c>
      <c r="C2">
        <v>43</v>
      </c>
      <c r="D2" t="s">
        <v>24</v>
      </c>
      <c r="E2" t="s">
        <v>25</v>
      </c>
      <c r="F2" t="s">
        <v>24</v>
      </c>
      <c r="G2" t="s">
        <v>26</v>
      </c>
      <c r="H2" s="8" t="s">
        <v>27</v>
      </c>
      <c r="I2" s="9">
        <v>52918.34</v>
      </c>
      <c r="J2" s="9">
        <v>21793.97</v>
      </c>
      <c r="K2" s="8" t="s">
        <v>28</v>
      </c>
      <c r="L2" s="10">
        <v>29833.25</v>
      </c>
      <c r="M2" s="8" t="s">
        <v>29</v>
      </c>
      <c r="N2" s="9">
        <v>9163.2900000000009</v>
      </c>
      <c r="O2" s="8" t="s">
        <v>30</v>
      </c>
      <c r="P2" t="str">
        <f>TEXT(Table1[[#This Row],[Transaction_Date]],"mmm")</f>
        <v>Nov</v>
      </c>
      <c r="Q2" s="11">
        <v>45966</v>
      </c>
      <c r="R2" s="8" t="s">
        <v>31</v>
      </c>
      <c r="S2" s="8" t="s">
        <v>32</v>
      </c>
      <c r="T2" s="9">
        <v>1304.8599999999999</v>
      </c>
      <c r="U2" t="s">
        <v>33</v>
      </c>
      <c r="V2" s="8" t="s">
        <v>34</v>
      </c>
      <c r="W2"/>
      <c r="X2"/>
    </row>
    <row r="3" spans="1:24" x14ac:dyDescent="0.3">
      <c r="A3" t="s">
        <v>35</v>
      </c>
      <c r="B3" t="s">
        <v>36</v>
      </c>
      <c r="C3">
        <v>44</v>
      </c>
      <c r="D3" t="s">
        <v>37</v>
      </c>
      <c r="E3" t="s">
        <v>38</v>
      </c>
      <c r="F3" t="s">
        <v>37</v>
      </c>
      <c r="G3" t="s">
        <v>39</v>
      </c>
      <c r="H3" s="8" t="s">
        <v>40</v>
      </c>
      <c r="I3" s="9">
        <v>38667.050000000003</v>
      </c>
      <c r="J3" s="9">
        <v>17284.46</v>
      </c>
      <c r="K3" s="8" t="s">
        <v>41</v>
      </c>
      <c r="L3" s="10">
        <v>35330.160000000003</v>
      </c>
      <c r="M3" s="8" t="s">
        <v>42</v>
      </c>
      <c r="N3" s="9">
        <v>0</v>
      </c>
      <c r="O3" s="8" t="s">
        <v>30</v>
      </c>
      <c r="P3" t="str">
        <f>TEXT(Table1[[#This Row],[Transaction_Date]],"mmm")</f>
        <v>Feb</v>
      </c>
      <c r="Q3" s="11">
        <v>45708</v>
      </c>
      <c r="R3" s="8" t="s">
        <v>43</v>
      </c>
      <c r="S3" s="8" t="s">
        <v>44</v>
      </c>
      <c r="T3" s="9">
        <v>315.77</v>
      </c>
      <c r="U3" t="s">
        <v>45</v>
      </c>
      <c r="V3" s="8" t="s">
        <v>46</v>
      </c>
      <c r="W3"/>
      <c r="X3"/>
    </row>
    <row r="4" spans="1:24" hidden="1" x14ac:dyDescent="0.3">
      <c r="A4" t="s">
        <v>47</v>
      </c>
      <c r="B4" t="s">
        <v>48</v>
      </c>
      <c r="C4">
        <v>24</v>
      </c>
      <c r="D4" t="s">
        <v>49</v>
      </c>
      <c r="E4" t="s">
        <v>50</v>
      </c>
      <c r="F4" t="s">
        <v>49</v>
      </c>
      <c r="G4" t="s">
        <v>51</v>
      </c>
      <c r="H4" s="8" t="s">
        <v>40</v>
      </c>
      <c r="I4" s="9">
        <v>51915.19</v>
      </c>
      <c r="J4" s="9">
        <v>32877.980000000003</v>
      </c>
      <c r="K4" s="8" t="s">
        <v>52</v>
      </c>
      <c r="L4" s="10">
        <v>58401.97</v>
      </c>
      <c r="M4" s="8" t="s">
        <v>29</v>
      </c>
      <c r="N4" s="9">
        <v>22237.67</v>
      </c>
      <c r="O4" s="8" t="s">
        <v>30</v>
      </c>
      <c r="P4" t="str">
        <f>TEXT(Table1[[#This Row],[Transaction_Date]],"mmm")</f>
        <v>Sep</v>
      </c>
      <c r="Q4" s="11">
        <v>45921</v>
      </c>
      <c r="R4" s="8" t="s">
        <v>53</v>
      </c>
      <c r="S4" s="8" t="s">
        <v>54</v>
      </c>
      <c r="T4" s="9">
        <v>3317.68</v>
      </c>
      <c r="U4" t="s">
        <v>33</v>
      </c>
      <c r="V4" s="8" t="s">
        <v>34</v>
      </c>
      <c r="W4"/>
      <c r="X4"/>
    </row>
    <row r="5" spans="1:24" hidden="1" x14ac:dyDescent="0.3">
      <c r="A5" t="s">
        <v>55</v>
      </c>
      <c r="B5" t="s">
        <v>56</v>
      </c>
      <c r="C5">
        <v>42</v>
      </c>
      <c r="D5" t="s">
        <v>57</v>
      </c>
      <c r="E5" t="s">
        <v>58</v>
      </c>
      <c r="F5" t="s">
        <v>57</v>
      </c>
      <c r="G5" t="s">
        <v>26</v>
      </c>
      <c r="H5" s="8" t="s">
        <v>51</v>
      </c>
      <c r="I5" s="9">
        <v>81419.64</v>
      </c>
      <c r="J5" s="9">
        <v>21141.040000000001</v>
      </c>
      <c r="K5" s="8" t="s">
        <v>59</v>
      </c>
      <c r="L5" s="10">
        <v>101093.31</v>
      </c>
      <c r="M5" s="8" t="s">
        <v>29</v>
      </c>
      <c r="N5" s="9">
        <v>44976.98</v>
      </c>
      <c r="O5" s="8" t="s">
        <v>30</v>
      </c>
      <c r="P5" t="str">
        <f>TEXT(Table1[[#This Row],[Transaction_Date]],"mmm")</f>
        <v>Sep</v>
      </c>
      <c r="Q5" s="11">
        <v>45909</v>
      </c>
      <c r="R5" s="8" t="s">
        <v>60</v>
      </c>
      <c r="S5" s="8" t="s">
        <v>54</v>
      </c>
      <c r="T5" s="9">
        <v>3515.18</v>
      </c>
      <c r="U5" t="s">
        <v>61</v>
      </c>
      <c r="V5" s="8" t="s">
        <v>62</v>
      </c>
      <c r="W5"/>
      <c r="X5"/>
    </row>
    <row r="6" spans="1:24" hidden="1" x14ac:dyDescent="0.3">
      <c r="A6" t="s">
        <v>63</v>
      </c>
      <c r="B6" t="s">
        <v>64</v>
      </c>
      <c r="C6">
        <v>66</v>
      </c>
      <c r="D6" t="s">
        <v>65</v>
      </c>
      <c r="E6" t="s">
        <v>66</v>
      </c>
      <c r="F6" t="s">
        <v>65</v>
      </c>
      <c r="G6" t="s">
        <v>26</v>
      </c>
      <c r="H6" s="8" t="s">
        <v>67</v>
      </c>
      <c r="I6" s="9">
        <v>34806.699999999997</v>
      </c>
      <c r="J6" s="9">
        <v>57341.97</v>
      </c>
      <c r="K6" s="8" t="s">
        <v>68</v>
      </c>
      <c r="L6" s="10">
        <v>116519.2</v>
      </c>
      <c r="M6" s="8" t="s">
        <v>29</v>
      </c>
      <c r="N6" s="9">
        <v>90704.69</v>
      </c>
      <c r="O6" s="8" t="s">
        <v>30</v>
      </c>
      <c r="P6" t="str">
        <f>TEXT(Table1[[#This Row],[Transaction_Date]],"mmm")</f>
        <v>Aug</v>
      </c>
      <c r="Q6" s="11">
        <v>45888</v>
      </c>
      <c r="R6" s="8" t="s">
        <v>69</v>
      </c>
      <c r="S6" s="8" t="s">
        <v>70</v>
      </c>
      <c r="T6" s="9">
        <v>1216.42</v>
      </c>
      <c r="U6" t="s">
        <v>71</v>
      </c>
      <c r="V6" s="8" t="s">
        <v>34</v>
      </c>
      <c r="W6"/>
      <c r="X6"/>
    </row>
    <row r="7" spans="1:24" x14ac:dyDescent="0.3">
      <c r="A7" t="s">
        <v>72</v>
      </c>
      <c r="B7" t="s">
        <v>73</v>
      </c>
      <c r="C7">
        <v>36</v>
      </c>
      <c r="D7" t="s">
        <v>65</v>
      </c>
      <c r="E7" t="s">
        <v>66</v>
      </c>
      <c r="F7" t="s">
        <v>65</v>
      </c>
      <c r="G7" t="s">
        <v>39</v>
      </c>
      <c r="H7" s="8" t="s">
        <v>67</v>
      </c>
      <c r="I7" s="9">
        <v>38194.69</v>
      </c>
      <c r="J7" s="9">
        <v>35391.81</v>
      </c>
      <c r="K7" s="8" t="s">
        <v>74</v>
      </c>
      <c r="L7" s="10">
        <v>0</v>
      </c>
      <c r="M7" s="8" t="s">
        <v>75</v>
      </c>
      <c r="N7" s="9">
        <v>0</v>
      </c>
      <c r="O7" s="8" t="s">
        <v>30</v>
      </c>
      <c r="P7" t="str">
        <f>TEXT(Table1[[#This Row],[Transaction_Date]],"mmm")</f>
        <v>Sep</v>
      </c>
      <c r="Q7" s="11">
        <v>45912</v>
      </c>
      <c r="R7" s="8" t="s">
        <v>76</v>
      </c>
      <c r="S7" s="8" t="s">
        <v>54</v>
      </c>
      <c r="T7" s="9">
        <v>3590.1</v>
      </c>
      <c r="U7" t="s">
        <v>77</v>
      </c>
      <c r="V7" s="8" t="s">
        <v>62</v>
      </c>
      <c r="W7"/>
      <c r="X7"/>
    </row>
    <row r="8" spans="1:24" hidden="1" x14ac:dyDescent="0.3">
      <c r="A8" t="s">
        <v>78</v>
      </c>
      <c r="B8" t="s">
        <v>79</v>
      </c>
      <c r="C8">
        <v>26</v>
      </c>
      <c r="D8" t="s">
        <v>65</v>
      </c>
      <c r="E8" t="s">
        <v>66</v>
      </c>
      <c r="F8" t="s">
        <v>65</v>
      </c>
      <c r="G8" t="s">
        <v>80</v>
      </c>
      <c r="H8" s="8" t="s">
        <v>51</v>
      </c>
      <c r="I8" s="9">
        <v>43598.06</v>
      </c>
      <c r="J8" s="9">
        <v>79404.89</v>
      </c>
      <c r="K8" s="8" t="s">
        <v>68</v>
      </c>
      <c r="L8" s="10">
        <v>32650.97</v>
      </c>
      <c r="M8" s="8" t="s">
        <v>42</v>
      </c>
      <c r="N8" s="9">
        <v>0</v>
      </c>
      <c r="O8" s="8" t="s">
        <v>30</v>
      </c>
      <c r="P8" t="str">
        <f>TEXT(Table1[[#This Row],[Transaction_Date]],"mmm")</f>
        <v>Feb</v>
      </c>
      <c r="Q8" s="11">
        <v>45702</v>
      </c>
      <c r="R8" s="8" t="s">
        <v>81</v>
      </c>
      <c r="S8" s="8" t="s">
        <v>44</v>
      </c>
      <c r="T8" s="9">
        <v>1624.38</v>
      </c>
      <c r="U8" t="s">
        <v>71</v>
      </c>
      <c r="V8" s="8" t="s">
        <v>62</v>
      </c>
      <c r="W8"/>
      <c r="X8"/>
    </row>
    <row r="9" spans="1:24" x14ac:dyDescent="0.3">
      <c r="A9" t="s">
        <v>82</v>
      </c>
      <c r="B9" t="s">
        <v>83</v>
      </c>
      <c r="C9">
        <v>54</v>
      </c>
      <c r="D9" t="s">
        <v>84</v>
      </c>
      <c r="E9" t="s">
        <v>85</v>
      </c>
      <c r="F9" t="s">
        <v>84</v>
      </c>
      <c r="G9" t="s">
        <v>39</v>
      </c>
      <c r="H9" s="8" t="s">
        <v>67</v>
      </c>
      <c r="I9" s="9">
        <v>12000</v>
      </c>
      <c r="J9" s="9">
        <v>28013.52</v>
      </c>
      <c r="K9" s="8" t="s">
        <v>68</v>
      </c>
      <c r="L9" s="10">
        <v>27880.85</v>
      </c>
      <c r="M9" s="8" t="s">
        <v>29</v>
      </c>
      <c r="N9" s="9">
        <v>16744.32</v>
      </c>
      <c r="O9" s="8" t="s">
        <v>30</v>
      </c>
      <c r="P9" t="str">
        <f>TEXT(Table1[[#This Row],[Transaction_Date]],"mmm")</f>
        <v>Aug</v>
      </c>
      <c r="Q9" s="11">
        <v>45882</v>
      </c>
      <c r="R9" s="8" t="s">
        <v>86</v>
      </c>
      <c r="S9" s="8" t="s">
        <v>54</v>
      </c>
      <c r="T9" s="9">
        <v>6564.35</v>
      </c>
      <c r="U9" t="s">
        <v>77</v>
      </c>
      <c r="V9" s="8" t="s">
        <v>34</v>
      </c>
      <c r="W9"/>
      <c r="X9"/>
    </row>
    <row r="10" spans="1:24" hidden="1" x14ac:dyDescent="0.3">
      <c r="A10" t="s">
        <v>87</v>
      </c>
      <c r="B10" t="s">
        <v>88</v>
      </c>
      <c r="C10">
        <v>36</v>
      </c>
      <c r="D10" t="s">
        <v>57</v>
      </c>
      <c r="E10" t="s">
        <v>58</v>
      </c>
      <c r="F10" t="s">
        <v>57</v>
      </c>
      <c r="G10" t="s">
        <v>51</v>
      </c>
      <c r="H10" s="8" t="s">
        <v>67</v>
      </c>
      <c r="I10" s="9">
        <v>32063.14</v>
      </c>
      <c r="J10" s="9">
        <v>13271.02</v>
      </c>
      <c r="K10" s="8" t="s">
        <v>74</v>
      </c>
      <c r="L10" s="10">
        <v>0</v>
      </c>
      <c r="M10" s="8" t="s">
        <v>75</v>
      </c>
      <c r="N10" s="9">
        <v>0</v>
      </c>
      <c r="O10" s="8" t="s">
        <v>30</v>
      </c>
      <c r="P10" t="str">
        <f>TEXT(Table1[[#This Row],[Transaction_Date]],"mmm")</f>
        <v>Mar</v>
      </c>
      <c r="Q10" s="11">
        <v>45738</v>
      </c>
      <c r="R10" s="8" t="s">
        <v>89</v>
      </c>
      <c r="S10" s="8" t="s">
        <v>54</v>
      </c>
      <c r="T10" s="9">
        <v>3913.14</v>
      </c>
      <c r="U10" t="s">
        <v>77</v>
      </c>
      <c r="V10" s="8" t="s">
        <v>62</v>
      </c>
      <c r="W10"/>
      <c r="X10"/>
    </row>
    <row r="11" spans="1:24" hidden="1" x14ac:dyDescent="0.3">
      <c r="A11" t="s">
        <v>90</v>
      </c>
      <c r="B11" t="s">
        <v>91</v>
      </c>
      <c r="C11">
        <v>42</v>
      </c>
      <c r="D11" t="s">
        <v>92</v>
      </c>
      <c r="E11" t="s">
        <v>93</v>
      </c>
      <c r="F11" t="s">
        <v>92</v>
      </c>
      <c r="G11" t="s">
        <v>26</v>
      </c>
      <c r="H11" s="8" t="s">
        <v>27</v>
      </c>
      <c r="I11" s="9">
        <v>29704.560000000001</v>
      </c>
      <c r="J11" s="9">
        <v>44973.89</v>
      </c>
      <c r="K11" s="8" t="s">
        <v>74</v>
      </c>
      <c r="L11" s="10">
        <v>0</v>
      </c>
      <c r="M11" s="8" t="s">
        <v>75</v>
      </c>
      <c r="N11" s="9">
        <v>0</v>
      </c>
      <c r="O11" s="8" t="s">
        <v>30</v>
      </c>
      <c r="P11" t="str">
        <f>TEXT(Table1[[#This Row],[Transaction_Date]],"mmm")</f>
        <v>Jul</v>
      </c>
      <c r="Q11" s="11">
        <v>45860</v>
      </c>
      <c r="R11" s="8" t="s">
        <v>94</v>
      </c>
      <c r="S11" s="8" t="s">
        <v>44</v>
      </c>
      <c r="T11" s="9">
        <v>5555.11</v>
      </c>
      <c r="U11" t="s">
        <v>33</v>
      </c>
      <c r="V11" s="8" t="s">
        <v>34</v>
      </c>
      <c r="W11"/>
      <c r="X11"/>
    </row>
    <row r="12" spans="1:24" hidden="1" x14ac:dyDescent="0.3">
      <c r="A12" t="s">
        <v>95</v>
      </c>
      <c r="B12" t="s">
        <v>96</v>
      </c>
      <c r="C12">
        <v>30</v>
      </c>
      <c r="D12" t="s">
        <v>97</v>
      </c>
      <c r="E12" t="s">
        <v>98</v>
      </c>
      <c r="F12" t="s">
        <v>97</v>
      </c>
      <c r="G12" t="s">
        <v>80</v>
      </c>
      <c r="H12" s="8" t="s">
        <v>40</v>
      </c>
      <c r="I12" s="9">
        <v>42541.45</v>
      </c>
      <c r="J12" s="9">
        <v>11021.14</v>
      </c>
      <c r="K12" s="8" t="s">
        <v>74</v>
      </c>
      <c r="L12" s="10">
        <v>0</v>
      </c>
      <c r="M12" s="8" t="s">
        <v>75</v>
      </c>
      <c r="N12" s="9">
        <v>0</v>
      </c>
      <c r="O12" s="8" t="s">
        <v>30</v>
      </c>
      <c r="P12" t="str">
        <f>TEXT(Table1[[#This Row],[Transaction_Date]],"mmm")</f>
        <v>Dec</v>
      </c>
      <c r="Q12" s="11">
        <v>46006</v>
      </c>
      <c r="R12" s="8" t="s">
        <v>99</v>
      </c>
      <c r="S12" s="8" t="s">
        <v>32</v>
      </c>
      <c r="T12" s="9">
        <v>696.85</v>
      </c>
      <c r="U12" t="s">
        <v>71</v>
      </c>
      <c r="V12" s="8" t="s">
        <v>62</v>
      </c>
      <c r="W12"/>
      <c r="X12"/>
    </row>
    <row r="13" spans="1:24" x14ac:dyDescent="0.3">
      <c r="A13" t="s">
        <v>100</v>
      </c>
      <c r="B13" t="s">
        <v>101</v>
      </c>
      <c r="C13">
        <v>29</v>
      </c>
      <c r="D13" t="s">
        <v>24</v>
      </c>
      <c r="E13" t="s">
        <v>25</v>
      </c>
      <c r="F13" t="s">
        <v>24</v>
      </c>
      <c r="G13" t="s">
        <v>39</v>
      </c>
      <c r="H13" s="8" t="s">
        <v>67</v>
      </c>
      <c r="I13" s="9">
        <v>12000</v>
      </c>
      <c r="J13" s="9">
        <v>17843.39</v>
      </c>
      <c r="K13" s="8" t="s">
        <v>74</v>
      </c>
      <c r="L13" s="10">
        <v>0</v>
      </c>
      <c r="M13" s="8" t="s">
        <v>75</v>
      </c>
      <c r="N13" s="9">
        <v>0</v>
      </c>
      <c r="O13" s="8" t="s">
        <v>30</v>
      </c>
      <c r="P13" t="str">
        <f>TEXT(Table1[[#This Row],[Transaction_Date]],"mmm")</f>
        <v>May</v>
      </c>
      <c r="Q13" s="11">
        <v>45808</v>
      </c>
      <c r="R13" s="8" t="s">
        <v>102</v>
      </c>
      <c r="S13" s="8" t="s">
        <v>70</v>
      </c>
      <c r="T13" s="9">
        <v>1066.6600000000001</v>
      </c>
      <c r="U13" t="s">
        <v>77</v>
      </c>
      <c r="V13" s="8" t="s">
        <v>62</v>
      </c>
      <c r="W13"/>
      <c r="X13"/>
    </row>
    <row r="14" spans="1:24" x14ac:dyDescent="0.3">
      <c r="A14" t="s">
        <v>103</v>
      </c>
      <c r="B14" t="s">
        <v>104</v>
      </c>
      <c r="C14">
        <v>46</v>
      </c>
      <c r="D14" t="s">
        <v>97</v>
      </c>
      <c r="E14" t="s">
        <v>98</v>
      </c>
      <c r="F14" t="s">
        <v>97</v>
      </c>
      <c r="G14" t="s">
        <v>39</v>
      </c>
      <c r="H14" s="8" t="s">
        <v>51</v>
      </c>
      <c r="I14" s="9">
        <v>58353.26</v>
      </c>
      <c r="J14" s="9">
        <v>54197.41</v>
      </c>
      <c r="K14" s="8" t="s">
        <v>74</v>
      </c>
      <c r="L14" s="10">
        <v>0</v>
      </c>
      <c r="M14" s="8" t="s">
        <v>75</v>
      </c>
      <c r="N14" s="9">
        <v>0</v>
      </c>
      <c r="O14" s="8" t="s">
        <v>30</v>
      </c>
      <c r="P14" t="str">
        <f>TEXT(Table1[[#This Row],[Transaction_Date]],"mmm")</f>
        <v>Jan</v>
      </c>
      <c r="Q14" s="11">
        <v>45666</v>
      </c>
      <c r="R14" s="8" t="s">
        <v>105</v>
      </c>
      <c r="S14" s="8" t="s">
        <v>54</v>
      </c>
      <c r="T14" s="9">
        <v>9439.19</v>
      </c>
      <c r="U14" t="s">
        <v>106</v>
      </c>
      <c r="V14" s="8" t="s">
        <v>62</v>
      </c>
      <c r="W14"/>
      <c r="X14"/>
    </row>
    <row r="15" spans="1:24" x14ac:dyDescent="0.3">
      <c r="A15" t="s">
        <v>107</v>
      </c>
      <c r="B15" t="s">
        <v>108</v>
      </c>
      <c r="C15">
        <v>43</v>
      </c>
      <c r="D15" t="s">
        <v>97</v>
      </c>
      <c r="E15" t="s">
        <v>98</v>
      </c>
      <c r="F15" t="s">
        <v>97</v>
      </c>
      <c r="G15" t="s">
        <v>39</v>
      </c>
      <c r="H15" s="8" t="s">
        <v>51</v>
      </c>
      <c r="I15" s="9">
        <v>94349.06</v>
      </c>
      <c r="J15" s="9">
        <v>48204.05</v>
      </c>
      <c r="K15" s="8" t="s">
        <v>74</v>
      </c>
      <c r="L15" s="10">
        <v>0</v>
      </c>
      <c r="M15" s="8" t="s">
        <v>75</v>
      </c>
      <c r="N15" s="9">
        <v>0</v>
      </c>
      <c r="O15" s="8" t="s">
        <v>30</v>
      </c>
      <c r="P15" t="str">
        <f>TEXT(Table1[[#This Row],[Transaction_Date]],"mmm")</f>
        <v>Apr</v>
      </c>
      <c r="Q15" s="11">
        <v>45769</v>
      </c>
      <c r="R15" s="8" t="s">
        <v>109</v>
      </c>
      <c r="S15" s="8" t="s">
        <v>54</v>
      </c>
      <c r="T15" s="9">
        <v>4970.6400000000003</v>
      </c>
      <c r="U15" t="s">
        <v>71</v>
      </c>
      <c r="V15" s="8" t="s">
        <v>62</v>
      </c>
      <c r="W15"/>
      <c r="X15"/>
    </row>
    <row r="16" spans="1:24" hidden="1" x14ac:dyDescent="0.3">
      <c r="A16" t="s">
        <v>110</v>
      </c>
      <c r="B16" t="s">
        <v>111</v>
      </c>
      <c r="C16">
        <v>23</v>
      </c>
      <c r="D16" t="s">
        <v>97</v>
      </c>
      <c r="E16" t="s">
        <v>98</v>
      </c>
      <c r="F16" t="s">
        <v>97</v>
      </c>
      <c r="G16" t="s">
        <v>26</v>
      </c>
      <c r="H16" s="8" t="s">
        <v>40</v>
      </c>
      <c r="I16" s="9">
        <v>64081.18</v>
      </c>
      <c r="J16" s="9">
        <v>52612.07</v>
      </c>
      <c r="K16" s="8" t="s">
        <v>74</v>
      </c>
      <c r="L16" s="10">
        <v>0</v>
      </c>
      <c r="M16" s="8" t="s">
        <v>75</v>
      </c>
      <c r="N16" s="9">
        <v>0</v>
      </c>
      <c r="O16" s="8" t="s">
        <v>30</v>
      </c>
      <c r="P16" t="str">
        <f>TEXT(Table1[[#This Row],[Transaction_Date]],"mmm")</f>
        <v>May</v>
      </c>
      <c r="Q16" s="11">
        <v>45785</v>
      </c>
      <c r="R16" s="8" t="s">
        <v>112</v>
      </c>
      <c r="S16" s="8" t="s">
        <v>70</v>
      </c>
      <c r="T16" s="9">
        <v>2332.3000000000002</v>
      </c>
      <c r="U16" t="s">
        <v>106</v>
      </c>
      <c r="V16" s="8" t="s">
        <v>46</v>
      </c>
      <c r="W16"/>
      <c r="X16"/>
    </row>
    <row r="17" spans="1:24" hidden="1" x14ac:dyDescent="0.3">
      <c r="A17" t="s">
        <v>113</v>
      </c>
      <c r="B17" t="s">
        <v>114</v>
      </c>
      <c r="C17">
        <v>28</v>
      </c>
      <c r="D17" t="s">
        <v>37</v>
      </c>
      <c r="E17" t="s">
        <v>38</v>
      </c>
      <c r="F17" t="s">
        <v>37</v>
      </c>
      <c r="G17" t="s">
        <v>51</v>
      </c>
      <c r="H17" s="8" t="s">
        <v>40</v>
      </c>
      <c r="I17" s="9">
        <v>57062.84</v>
      </c>
      <c r="J17" s="9">
        <v>216975.07</v>
      </c>
      <c r="K17" s="8" t="s">
        <v>74</v>
      </c>
      <c r="L17" s="10">
        <v>0</v>
      </c>
      <c r="M17" s="8" t="s">
        <v>75</v>
      </c>
      <c r="N17" s="9">
        <v>0</v>
      </c>
      <c r="O17" s="8" t="s">
        <v>30</v>
      </c>
      <c r="P17" t="str">
        <f>TEXT(Table1[[#This Row],[Transaction_Date]],"mmm")</f>
        <v>Nov</v>
      </c>
      <c r="Q17" s="11">
        <v>45974</v>
      </c>
      <c r="R17" s="8" t="s">
        <v>115</v>
      </c>
      <c r="S17" s="8" t="s">
        <v>44</v>
      </c>
      <c r="T17" s="9">
        <v>11783.89</v>
      </c>
      <c r="U17" t="s">
        <v>71</v>
      </c>
      <c r="V17" s="8" t="s">
        <v>34</v>
      </c>
      <c r="W17"/>
      <c r="X17"/>
    </row>
    <row r="18" spans="1:24" hidden="1" x14ac:dyDescent="0.3">
      <c r="A18" t="s">
        <v>116</v>
      </c>
      <c r="B18" t="s">
        <v>117</v>
      </c>
      <c r="C18">
        <v>42</v>
      </c>
      <c r="D18" t="s">
        <v>37</v>
      </c>
      <c r="E18" t="s">
        <v>38</v>
      </c>
      <c r="F18" t="s">
        <v>37</v>
      </c>
      <c r="G18" t="s">
        <v>51</v>
      </c>
      <c r="H18" s="8" t="s">
        <v>67</v>
      </c>
      <c r="I18" s="9">
        <v>29515</v>
      </c>
      <c r="J18" s="9">
        <v>21980.61</v>
      </c>
      <c r="K18" s="8" t="s">
        <v>74</v>
      </c>
      <c r="L18" s="10">
        <v>0</v>
      </c>
      <c r="M18" s="8" t="s">
        <v>75</v>
      </c>
      <c r="N18" s="9">
        <v>0</v>
      </c>
      <c r="O18" s="8" t="s">
        <v>30</v>
      </c>
      <c r="P18" t="str">
        <f>TEXT(Table1[[#This Row],[Transaction_Date]],"mmm")</f>
        <v>Oct</v>
      </c>
      <c r="Q18" s="11">
        <v>45959</v>
      </c>
      <c r="R18" s="8" t="s">
        <v>118</v>
      </c>
      <c r="S18" s="8" t="s">
        <v>32</v>
      </c>
      <c r="T18" s="9">
        <v>894.74</v>
      </c>
      <c r="U18" t="s">
        <v>33</v>
      </c>
      <c r="V18" s="8" t="s">
        <v>62</v>
      </c>
      <c r="W18"/>
      <c r="X18"/>
    </row>
    <row r="19" spans="1:24" hidden="1" x14ac:dyDescent="0.3">
      <c r="A19" t="s">
        <v>119</v>
      </c>
      <c r="B19" t="s">
        <v>120</v>
      </c>
      <c r="C19">
        <v>19</v>
      </c>
      <c r="D19" t="s">
        <v>37</v>
      </c>
      <c r="E19" t="s">
        <v>38</v>
      </c>
      <c r="F19" t="s">
        <v>37</v>
      </c>
      <c r="G19" t="s">
        <v>80</v>
      </c>
      <c r="H19" s="8" t="s">
        <v>40</v>
      </c>
      <c r="I19" s="9">
        <v>37203.39</v>
      </c>
      <c r="J19" s="9">
        <v>29283.02</v>
      </c>
      <c r="K19" s="8" t="s">
        <v>52</v>
      </c>
      <c r="L19" s="10">
        <v>132331.79</v>
      </c>
      <c r="M19" s="8" t="s">
        <v>29</v>
      </c>
      <c r="N19" s="9">
        <v>95644.36</v>
      </c>
      <c r="O19" s="8" t="s">
        <v>30</v>
      </c>
      <c r="P19" t="str">
        <f>TEXT(Table1[[#This Row],[Transaction_Date]],"mmm")</f>
        <v>Jun</v>
      </c>
      <c r="Q19" s="11">
        <v>45833</v>
      </c>
      <c r="R19" s="8" t="s">
        <v>121</v>
      </c>
      <c r="S19" s="8" t="s">
        <v>70</v>
      </c>
      <c r="T19" s="9">
        <v>3138.06</v>
      </c>
      <c r="U19" t="s">
        <v>33</v>
      </c>
      <c r="V19" s="8" t="s">
        <v>62</v>
      </c>
      <c r="W19"/>
      <c r="X19"/>
    </row>
    <row r="20" spans="1:24" x14ac:dyDescent="0.3">
      <c r="A20" t="s">
        <v>122</v>
      </c>
      <c r="B20" t="s">
        <v>123</v>
      </c>
      <c r="C20">
        <v>45</v>
      </c>
      <c r="D20" t="s">
        <v>49</v>
      </c>
      <c r="E20" t="s">
        <v>50</v>
      </c>
      <c r="F20" t="s">
        <v>49</v>
      </c>
      <c r="G20" t="s">
        <v>39</v>
      </c>
      <c r="H20" s="8" t="s">
        <v>40</v>
      </c>
      <c r="I20" s="9">
        <v>84279.39</v>
      </c>
      <c r="J20" s="9">
        <v>7717.76</v>
      </c>
      <c r="K20" s="8" t="s">
        <v>74</v>
      </c>
      <c r="L20" s="10">
        <v>0</v>
      </c>
      <c r="M20" s="8" t="s">
        <v>75</v>
      </c>
      <c r="N20" s="9">
        <v>0</v>
      </c>
      <c r="O20" s="8" t="s">
        <v>30</v>
      </c>
      <c r="P20" t="str">
        <f>TEXT(Table1[[#This Row],[Transaction_Date]],"mmm")</f>
        <v>May</v>
      </c>
      <c r="Q20" s="11">
        <v>45799</v>
      </c>
      <c r="R20" s="8" t="s">
        <v>124</v>
      </c>
      <c r="S20" s="8" t="s">
        <v>32</v>
      </c>
      <c r="T20" s="9">
        <v>5605.64</v>
      </c>
      <c r="U20" t="s">
        <v>33</v>
      </c>
      <c r="V20" s="8" t="s">
        <v>62</v>
      </c>
      <c r="W20"/>
      <c r="X20"/>
    </row>
    <row r="21" spans="1:24" x14ac:dyDescent="0.3">
      <c r="A21" t="s">
        <v>125</v>
      </c>
      <c r="B21" t="s">
        <v>126</v>
      </c>
      <c r="C21">
        <v>60</v>
      </c>
      <c r="D21" t="s">
        <v>57</v>
      </c>
      <c r="E21" t="s">
        <v>58</v>
      </c>
      <c r="F21" t="s">
        <v>57</v>
      </c>
      <c r="G21" t="s">
        <v>39</v>
      </c>
      <c r="H21" s="8" t="s">
        <v>40</v>
      </c>
      <c r="I21" s="9">
        <v>45880.3</v>
      </c>
      <c r="J21" s="9">
        <v>14176.72</v>
      </c>
      <c r="K21" s="8" t="s">
        <v>68</v>
      </c>
      <c r="L21" s="10">
        <v>63586.03</v>
      </c>
      <c r="M21" s="8" t="s">
        <v>29</v>
      </c>
      <c r="N21" s="9">
        <v>51946.63</v>
      </c>
      <c r="O21" s="8" t="s">
        <v>30</v>
      </c>
      <c r="P21" t="str">
        <f>TEXT(Table1[[#This Row],[Transaction_Date]],"mmm")</f>
        <v>Apr</v>
      </c>
      <c r="Q21" s="11">
        <v>45758</v>
      </c>
      <c r="R21" s="8" t="s">
        <v>127</v>
      </c>
      <c r="S21" s="8" t="s">
        <v>70</v>
      </c>
      <c r="T21" s="9">
        <v>1457.82</v>
      </c>
      <c r="U21" t="s">
        <v>71</v>
      </c>
      <c r="V21" s="8" t="s">
        <v>34</v>
      </c>
      <c r="W21"/>
      <c r="X21"/>
    </row>
    <row r="22" spans="1:24" hidden="1" x14ac:dyDescent="0.3">
      <c r="A22" t="s">
        <v>128</v>
      </c>
      <c r="B22" t="s">
        <v>129</v>
      </c>
      <c r="C22">
        <v>46</v>
      </c>
      <c r="D22" t="s">
        <v>24</v>
      </c>
      <c r="E22" t="s">
        <v>25</v>
      </c>
      <c r="F22" t="s">
        <v>24</v>
      </c>
      <c r="G22" t="s">
        <v>26</v>
      </c>
      <c r="H22" s="8" t="s">
        <v>40</v>
      </c>
      <c r="I22" s="9">
        <v>44303.22</v>
      </c>
      <c r="J22" s="9">
        <v>22342.47</v>
      </c>
      <c r="K22" s="8" t="s">
        <v>74</v>
      </c>
      <c r="L22" s="10">
        <v>0</v>
      </c>
      <c r="M22" s="8" t="s">
        <v>75</v>
      </c>
      <c r="N22" s="9">
        <v>0</v>
      </c>
      <c r="O22" s="8" t="s">
        <v>30</v>
      </c>
      <c r="P22" t="str">
        <f>TEXT(Table1[[#This Row],[Transaction_Date]],"mmm")</f>
        <v>Oct</v>
      </c>
      <c r="Q22" s="11">
        <v>45932</v>
      </c>
      <c r="R22" s="8" t="s">
        <v>130</v>
      </c>
      <c r="S22" s="8" t="s">
        <v>44</v>
      </c>
      <c r="T22" s="9">
        <v>1239.94</v>
      </c>
      <c r="U22" t="s">
        <v>106</v>
      </c>
      <c r="V22" s="8" t="s">
        <v>34</v>
      </c>
      <c r="W22"/>
      <c r="X22"/>
    </row>
    <row r="23" spans="1:24" hidden="1" x14ac:dyDescent="0.3">
      <c r="A23" t="s">
        <v>131</v>
      </c>
      <c r="B23" t="s">
        <v>132</v>
      </c>
      <c r="C23">
        <v>57</v>
      </c>
      <c r="D23" t="s">
        <v>65</v>
      </c>
      <c r="E23" t="s">
        <v>66</v>
      </c>
      <c r="F23" t="s">
        <v>65</v>
      </c>
      <c r="G23" t="s">
        <v>80</v>
      </c>
      <c r="H23" s="8" t="s">
        <v>27</v>
      </c>
      <c r="I23" s="9">
        <v>59990.67</v>
      </c>
      <c r="J23" s="9">
        <v>134284.1</v>
      </c>
      <c r="K23" s="8" t="s">
        <v>41</v>
      </c>
      <c r="L23" s="10">
        <v>207232.41</v>
      </c>
      <c r="M23" s="8" t="s">
        <v>29</v>
      </c>
      <c r="N23" s="9">
        <v>129422.42</v>
      </c>
      <c r="O23" s="8" t="s">
        <v>30</v>
      </c>
      <c r="P23" t="str">
        <f>TEXT(Table1[[#This Row],[Transaction_Date]],"mmm")</f>
        <v>Mar</v>
      </c>
      <c r="Q23" s="11">
        <v>45743</v>
      </c>
      <c r="R23" s="8" t="s">
        <v>133</v>
      </c>
      <c r="S23" s="8" t="s">
        <v>54</v>
      </c>
      <c r="T23" s="9">
        <v>2626.86</v>
      </c>
      <c r="U23" t="s">
        <v>61</v>
      </c>
      <c r="V23" s="8" t="s">
        <v>62</v>
      </c>
      <c r="W23"/>
      <c r="X23"/>
    </row>
    <row r="24" spans="1:24" x14ac:dyDescent="0.3">
      <c r="A24" t="s">
        <v>134</v>
      </c>
      <c r="B24" t="s">
        <v>135</v>
      </c>
      <c r="C24">
        <v>46</v>
      </c>
      <c r="D24" t="s">
        <v>65</v>
      </c>
      <c r="E24" t="s">
        <v>66</v>
      </c>
      <c r="F24" t="s">
        <v>65</v>
      </c>
      <c r="G24" t="s">
        <v>39</v>
      </c>
      <c r="H24" s="8" t="s">
        <v>40</v>
      </c>
      <c r="I24" s="9">
        <v>88947.49</v>
      </c>
      <c r="J24" s="9">
        <v>39336.86</v>
      </c>
      <c r="K24" s="8" t="s">
        <v>28</v>
      </c>
      <c r="L24" s="10">
        <v>161530.26999999999</v>
      </c>
      <c r="M24" s="8" t="s">
        <v>29</v>
      </c>
      <c r="N24" s="9">
        <v>77689.509999999995</v>
      </c>
      <c r="O24" s="8" t="s">
        <v>30</v>
      </c>
      <c r="P24" t="str">
        <f>TEXT(Table1[[#This Row],[Transaction_Date]],"mmm")</f>
        <v>Apr</v>
      </c>
      <c r="Q24" s="11">
        <v>45753</v>
      </c>
      <c r="R24" s="8" t="s">
        <v>136</v>
      </c>
      <c r="S24" s="8" t="s">
        <v>32</v>
      </c>
      <c r="T24" s="9">
        <v>781.97</v>
      </c>
      <c r="U24" t="s">
        <v>33</v>
      </c>
      <c r="V24" s="8" t="s">
        <v>62</v>
      </c>
      <c r="W24"/>
      <c r="X24"/>
    </row>
    <row r="25" spans="1:24" hidden="1" x14ac:dyDescent="0.3">
      <c r="A25" t="s">
        <v>137</v>
      </c>
      <c r="B25" t="s">
        <v>138</v>
      </c>
      <c r="C25">
        <v>43</v>
      </c>
      <c r="D25" t="s">
        <v>49</v>
      </c>
      <c r="E25" t="s">
        <v>50</v>
      </c>
      <c r="F25" t="s">
        <v>49</v>
      </c>
      <c r="G25" t="s">
        <v>26</v>
      </c>
      <c r="H25" s="8" t="s">
        <v>27</v>
      </c>
      <c r="I25" s="9">
        <v>27768.06</v>
      </c>
      <c r="J25" s="9">
        <v>86579.08</v>
      </c>
      <c r="K25" s="8" t="s">
        <v>52</v>
      </c>
      <c r="L25" s="10">
        <v>296491.86</v>
      </c>
      <c r="M25" s="8" t="s">
        <v>42</v>
      </c>
      <c r="N25" s="9">
        <v>0</v>
      </c>
      <c r="O25" s="8" t="s">
        <v>30</v>
      </c>
      <c r="P25" t="str">
        <f>TEXT(Table1[[#This Row],[Transaction_Date]],"mmm")</f>
        <v>Nov</v>
      </c>
      <c r="Q25" s="11">
        <v>45980</v>
      </c>
      <c r="R25" s="8" t="s">
        <v>139</v>
      </c>
      <c r="S25" s="8" t="s">
        <v>32</v>
      </c>
      <c r="T25" s="9">
        <v>296.26</v>
      </c>
      <c r="U25" t="s">
        <v>45</v>
      </c>
      <c r="V25" s="8" t="s">
        <v>62</v>
      </c>
      <c r="W25"/>
      <c r="X25"/>
    </row>
    <row r="26" spans="1:24" x14ac:dyDescent="0.3">
      <c r="A26" t="s">
        <v>140</v>
      </c>
      <c r="B26" t="s">
        <v>141</v>
      </c>
      <c r="C26">
        <v>27</v>
      </c>
      <c r="D26" t="s">
        <v>92</v>
      </c>
      <c r="E26" t="s">
        <v>93</v>
      </c>
      <c r="F26" t="s">
        <v>92</v>
      </c>
      <c r="G26" t="s">
        <v>39</v>
      </c>
      <c r="H26" s="8" t="s">
        <v>40</v>
      </c>
      <c r="I26" s="9">
        <v>50421.31</v>
      </c>
      <c r="J26" s="9">
        <v>13911.87</v>
      </c>
      <c r="K26" s="8" t="s">
        <v>74</v>
      </c>
      <c r="L26" s="10">
        <v>0</v>
      </c>
      <c r="M26" s="8" t="s">
        <v>75</v>
      </c>
      <c r="N26" s="9">
        <v>0</v>
      </c>
      <c r="O26" s="8" t="s">
        <v>30</v>
      </c>
      <c r="P26" t="str">
        <f>TEXT(Table1[[#This Row],[Transaction_Date]],"mmm")</f>
        <v>Mar</v>
      </c>
      <c r="Q26" s="11">
        <v>45747</v>
      </c>
      <c r="R26" s="8" t="s">
        <v>142</v>
      </c>
      <c r="S26" s="8" t="s">
        <v>44</v>
      </c>
      <c r="T26" s="9">
        <v>1638.67</v>
      </c>
      <c r="U26" t="s">
        <v>71</v>
      </c>
      <c r="V26" s="8" t="s">
        <v>62</v>
      </c>
      <c r="W26"/>
      <c r="X26"/>
    </row>
    <row r="27" spans="1:24" hidden="1" x14ac:dyDescent="0.3">
      <c r="A27" t="s">
        <v>143</v>
      </c>
      <c r="B27" t="s">
        <v>144</v>
      </c>
      <c r="C27">
        <v>49</v>
      </c>
      <c r="D27" t="s">
        <v>65</v>
      </c>
      <c r="E27" t="s">
        <v>66</v>
      </c>
      <c r="F27" t="s">
        <v>65</v>
      </c>
      <c r="G27" t="s">
        <v>80</v>
      </c>
      <c r="H27" s="8" t="s">
        <v>27</v>
      </c>
      <c r="I27" s="9">
        <v>12000</v>
      </c>
      <c r="J27" s="9">
        <v>77811.16</v>
      </c>
      <c r="K27" s="8" t="s">
        <v>74</v>
      </c>
      <c r="L27" s="10">
        <v>0</v>
      </c>
      <c r="M27" s="8" t="s">
        <v>75</v>
      </c>
      <c r="N27" s="9">
        <v>0</v>
      </c>
      <c r="O27" s="8" t="s">
        <v>30</v>
      </c>
      <c r="P27" t="str">
        <f>TEXT(Table1[[#This Row],[Transaction_Date]],"mmm")</f>
        <v>Jul</v>
      </c>
      <c r="Q27" s="11">
        <v>45849</v>
      </c>
      <c r="R27" s="8" t="s">
        <v>145</v>
      </c>
      <c r="S27" s="8" t="s">
        <v>70</v>
      </c>
      <c r="T27" s="9">
        <v>11962.91</v>
      </c>
      <c r="U27" t="s">
        <v>33</v>
      </c>
      <c r="V27" s="8" t="s">
        <v>62</v>
      </c>
      <c r="W27"/>
      <c r="X27"/>
    </row>
    <row r="28" spans="1:24" hidden="1" x14ac:dyDescent="0.3">
      <c r="A28" t="s">
        <v>146</v>
      </c>
      <c r="B28" t="s">
        <v>36</v>
      </c>
      <c r="C28">
        <v>29</v>
      </c>
      <c r="D28" t="s">
        <v>84</v>
      </c>
      <c r="E28" t="s">
        <v>85</v>
      </c>
      <c r="F28" t="s">
        <v>84</v>
      </c>
      <c r="G28" t="s">
        <v>80</v>
      </c>
      <c r="H28" s="8" t="s">
        <v>67</v>
      </c>
      <c r="I28" s="9">
        <v>12000</v>
      </c>
      <c r="J28" s="9">
        <v>61669.81</v>
      </c>
      <c r="K28" s="8" t="s">
        <v>74</v>
      </c>
      <c r="L28" s="10">
        <v>0</v>
      </c>
      <c r="M28" s="8" t="s">
        <v>75</v>
      </c>
      <c r="N28" s="9">
        <v>0</v>
      </c>
      <c r="O28" s="8" t="s">
        <v>30</v>
      </c>
      <c r="P28" t="str">
        <f>TEXT(Table1[[#This Row],[Transaction_Date]],"mmm")</f>
        <v>Oct</v>
      </c>
      <c r="Q28" s="11">
        <v>45943</v>
      </c>
      <c r="R28" s="8" t="s">
        <v>147</v>
      </c>
      <c r="S28" s="8" t="s">
        <v>32</v>
      </c>
      <c r="T28" s="9">
        <v>4600.49</v>
      </c>
      <c r="U28" t="s">
        <v>106</v>
      </c>
      <c r="V28" s="8" t="s">
        <v>46</v>
      </c>
      <c r="W28"/>
      <c r="X28"/>
    </row>
    <row r="29" spans="1:24" hidden="1" x14ac:dyDescent="0.3">
      <c r="A29" t="s">
        <v>148</v>
      </c>
      <c r="B29" t="s">
        <v>149</v>
      </c>
      <c r="C29">
        <v>35</v>
      </c>
      <c r="D29" t="s">
        <v>49</v>
      </c>
      <c r="E29" t="s">
        <v>50</v>
      </c>
      <c r="F29" t="s">
        <v>49</v>
      </c>
      <c r="G29" t="s">
        <v>51</v>
      </c>
      <c r="H29" s="8" t="s">
        <v>40</v>
      </c>
      <c r="I29" s="9">
        <v>57278.5</v>
      </c>
      <c r="J29" s="9">
        <v>48203.16</v>
      </c>
      <c r="K29" s="8" t="s">
        <v>28</v>
      </c>
      <c r="L29" s="10">
        <v>73183.63</v>
      </c>
      <c r="M29" s="8" t="s">
        <v>29</v>
      </c>
      <c r="N29" s="9">
        <v>41697.78</v>
      </c>
      <c r="O29" s="8" t="s">
        <v>30</v>
      </c>
      <c r="P29" t="str">
        <f>TEXT(Table1[[#This Row],[Transaction_Date]],"mmm")</f>
        <v>Mar</v>
      </c>
      <c r="Q29" s="11">
        <v>45726</v>
      </c>
      <c r="R29" s="8" t="s">
        <v>150</v>
      </c>
      <c r="S29" s="8" t="s">
        <v>44</v>
      </c>
      <c r="T29" s="9">
        <v>8951.3700000000008</v>
      </c>
      <c r="U29" t="s">
        <v>77</v>
      </c>
      <c r="V29" s="8" t="s">
        <v>46</v>
      </c>
      <c r="W29"/>
      <c r="X29"/>
    </row>
    <row r="30" spans="1:24" hidden="1" x14ac:dyDescent="0.3">
      <c r="A30" t="s">
        <v>151</v>
      </c>
      <c r="B30" t="s">
        <v>152</v>
      </c>
      <c r="C30">
        <v>23</v>
      </c>
      <c r="D30" t="s">
        <v>57</v>
      </c>
      <c r="E30" t="s">
        <v>58</v>
      </c>
      <c r="F30" t="s">
        <v>57</v>
      </c>
      <c r="G30" t="s">
        <v>51</v>
      </c>
      <c r="H30" s="8" t="s">
        <v>67</v>
      </c>
      <c r="I30" s="9">
        <v>18764.740000000002</v>
      </c>
      <c r="J30" s="9">
        <v>53108.69</v>
      </c>
      <c r="K30" s="8" t="s">
        <v>52</v>
      </c>
      <c r="L30" s="10">
        <v>32237.22</v>
      </c>
      <c r="M30" s="8" t="s">
        <v>29</v>
      </c>
      <c r="N30" s="9">
        <v>24859.18</v>
      </c>
      <c r="O30" s="8" t="s">
        <v>30</v>
      </c>
      <c r="P30" t="str">
        <f>TEXT(Table1[[#This Row],[Transaction_Date]],"mmm")</f>
        <v>Sep</v>
      </c>
      <c r="Q30" s="11">
        <v>45910</v>
      </c>
      <c r="R30" s="8" t="s">
        <v>153</v>
      </c>
      <c r="S30" s="8" t="s">
        <v>32</v>
      </c>
      <c r="T30" s="9">
        <v>1513.13</v>
      </c>
      <c r="U30" t="s">
        <v>33</v>
      </c>
      <c r="V30" s="8" t="s">
        <v>62</v>
      </c>
      <c r="W30"/>
      <c r="X30"/>
    </row>
    <row r="31" spans="1:24" x14ac:dyDescent="0.3">
      <c r="A31" t="s">
        <v>154</v>
      </c>
      <c r="B31" t="s">
        <v>73</v>
      </c>
      <c r="C31">
        <v>44</v>
      </c>
      <c r="D31" t="s">
        <v>37</v>
      </c>
      <c r="E31" t="s">
        <v>38</v>
      </c>
      <c r="F31" t="s">
        <v>37</v>
      </c>
      <c r="G31" t="s">
        <v>39</v>
      </c>
      <c r="H31" s="8" t="s">
        <v>40</v>
      </c>
      <c r="I31" s="9">
        <v>61377.42</v>
      </c>
      <c r="J31" s="9">
        <v>48924.49</v>
      </c>
      <c r="K31" s="8" t="s">
        <v>41</v>
      </c>
      <c r="L31" s="10">
        <v>52030.29</v>
      </c>
      <c r="M31" s="8" t="s">
        <v>29</v>
      </c>
      <c r="N31" s="9">
        <v>24072.53</v>
      </c>
      <c r="O31" s="8" t="s">
        <v>30</v>
      </c>
      <c r="P31" t="str">
        <f>TEXT(Table1[[#This Row],[Transaction_Date]],"mmm")</f>
        <v>Oct</v>
      </c>
      <c r="Q31" s="11">
        <v>45932</v>
      </c>
      <c r="R31" s="8" t="s">
        <v>155</v>
      </c>
      <c r="S31" s="8" t="s">
        <v>32</v>
      </c>
      <c r="T31" s="9">
        <v>272.12</v>
      </c>
      <c r="U31" t="s">
        <v>106</v>
      </c>
      <c r="V31" s="8" t="s">
        <v>62</v>
      </c>
      <c r="W31"/>
      <c r="X31"/>
    </row>
    <row r="32" spans="1:24" x14ac:dyDescent="0.3">
      <c r="A32" t="s">
        <v>156</v>
      </c>
      <c r="B32" t="s">
        <v>157</v>
      </c>
      <c r="C32">
        <v>56</v>
      </c>
      <c r="D32" t="s">
        <v>57</v>
      </c>
      <c r="E32" t="s">
        <v>58</v>
      </c>
      <c r="F32" t="s">
        <v>57</v>
      </c>
      <c r="G32" t="s">
        <v>39</v>
      </c>
      <c r="H32" s="8" t="s">
        <v>40</v>
      </c>
      <c r="I32" s="9">
        <v>71958.990000000005</v>
      </c>
      <c r="J32" s="9">
        <v>67299.67</v>
      </c>
      <c r="K32" s="8" t="s">
        <v>59</v>
      </c>
      <c r="L32" s="10">
        <v>86639.83</v>
      </c>
      <c r="M32" s="8" t="s">
        <v>29</v>
      </c>
      <c r="N32" s="9">
        <v>35893.5</v>
      </c>
      <c r="O32" s="8" t="s">
        <v>30</v>
      </c>
      <c r="P32" t="str">
        <f>TEXT(Table1[[#This Row],[Transaction_Date]],"mmm")</f>
        <v>Apr</v>
      </c>
      <c r="Q32" s="11">
        <v>45774</v>
      </c>
      <c r="R32" s="8" t="s">
        <v>158</v>
      </c>
      <c r="S32" s="8" t="s">
        <v>32</v>
      </c>
      <c r="T32" s="9">
        <v>2280.61</v>
      </c>
      <c r="U32" t="s">
        <v>106</v>
      </c>
      <c r="V32" s="8" t="s">
        <v>46</v>
      </c>
      <c r="W32"/>
      <c r="X32"/>
    </row>
    <row r="33" spans="1:24" hidden="1" x14ac:dyDescent="0.3">
      <c r="A33" t="s">
        <v>159</v>
      </c>
      <c r="B33" t="s">
        <v>138</v>
      </c>
      <c r="C33">
        <v>43</v>
      </c>
      <c r="D33" t="s">
        <v>57</v>
      </c>
      <c r="E33" t="s">
        <v>58</v>
      </c>
      <c r="F33" t="s">
        <v>57</v>
      </c>
      <c r="G33" t="s">
        <v>26</v>
      </c>
      <c r="H33" s="8" t="s">
        <v>51</v>
      </c>
      <c r="I33" s="9">
        <v>86608.6</v>
      </c>
      <c r="J33" s="9">
        <v>25424.799999999999</v>
      </c>
      <c r="K33" s="8" t="s">
        <v>68</v>
      </c>
      <c r="L33" s="10">
        <v>35373.74</v>
      </c>
      <c r="M33" s="8" t="s">
        <v>42</v>
      </c>
      <c r="N33" s="9">
        <v>0</v>
      </c>
      <c r="O33" s="8" t="s">
        <v>30</v>
      </c>
      <c r="P33" t="str">
        <f>TEXT(Table1[[#This Row],[Transaction_Date]],"mmm")</f>
        <v>Nov</v>
      </c>
      <c r="Q33" s="11">
        <v>45987</v>
      </c>
      <c r="R33" s="8" t="s">
        <v>160</v>
      </c>
      <c r="S33" s="8" t="s">
        <v>32</v>
      </c>
      <c r="T33" s="9">
        <v>1867.57</v>
      </c>
      <c r="U33" t="s">
        <v>71</v>
      </c>
      <c r="V33" s="8" t="s">
        <v>62</v>
      </c>
      <c r="W33"/>
      <c r="X33"/>
    </row>
    <row r="34" spans="1:24" x14ac:dyDescent="0.3">
      <c r="A34" t="s">
        <v>161</v>
      </c>
      <c r="B34" t="s">
        <v>162</v>
      </c>
      <c r="C34">
        <v>49</v>
      </c>
      <c r="D34" t="s">
        <v>92</v>
      </c>
      <c r="E34" t="s">
        <v>93</v>
      </c>
      <c r="F34" t="s">
        <v>92</v>
      </c>
      <c r="G34" t="s">
        <v>39</v>
      </c>
      <c r="H34" s="8" t="s">
        <v>40</v>
      </c>
      <c r="I34" s="9">
        <v>38033.480000000003</v>
      </c>
      <c r="J34" s="9">
        <v>8429.66</v>
      </c>
      <c r="K34" s="8" t="s">
        <v>68</v>
      </c>
      <c r="L34" s="10">
        <v>41308.76</v>
      </c>
      <c r="M34" s="8" t="s">
        <v>29</v>
      </c>
      <c r="N34" s="9">
        <v>21001.58</v>
      </c>
      <c r="O34" s="8" t="s">
        <v>30</v>
      </c>
      <c r="P34" t="str">
        <f>TEXT(Table1[[#This Row],[Transaction_Date]],"mmm")</f>
        <v>Aug</v>
      </c>
      <c r="Q34" s="11">
        <v>45897</v>
      </c>
      <c r="R34" s="8" t="s">
        <v>163</v>
      </c>
      <c r="S34" s="8" t="s">
        <v>54</v>
      </c>
      <c r="T34" s="9">
        <v>3971.87</v>
      </c>
      <c r="U34" t="s">
        <v>61</v>
      </c>
      <c r="V34" s="8" t="s">
        <v>34</v>
      </c>
      <c r="W34"/>
      <c r="X34"/>
    </row>
    <row r="35" spans="1:24" hidden="1" x14ac:dyDescent="0.3">
      <c r="A35" t="s">
        <v>164</v>
      </c>
      <c r="B35" t="s">
        <v>165</v>
      </c>
      <c r="C35">
        <v>22</v>
      </c>
      <c r="D35" t="s">
        <v>65</v>
      </c>
      <c r="E35" t="s">
        <v>66</v>
      </c>
      <c r="F35" t="s">
        <v>65</v>
      </c>
      <c r="G35" t="s">
        <v>51</v>
      </c>
      <c r="H35" s="8" t="s">
        <v>67</v>
      </c>
      <c r="I35" s="9">
        <v>52791.13</v>
      </c>
      <c r="J35" s="9">
        <v>105363.02</v>
      </c>
      <c r="K35" s="8" t="s">
        <v>68</v>
      </c>
      <c r="L35" s="10">
        <v>42805.8</v>
      </c>
      <c r="M35" s="8" t="s">
        <v>29</v>
      </c>
      <c r="N35" s="9">
        <v>40193.129999999997</v>
      </c>
      <c r="O35" s="8" t="s">
        <v>30</v>
      </c>
      <c r="P35" t="str">
        <f>TEXT(Table1[[#This Row],[Transaction_Date]],"mmm")</f>
        <v>Oct</v>
      </c>
      <c r="Q35" s="11">
        <v>45939</v>
      </c>
      <c r="R35" s="8" t="s">
        <v>166</v>
      </c>
      <c r="S35" s="8" t="s">
        <v>44</v>
      </c>
      <c r="T35" s="9">
        <v>2392.5100000000002</v>
      </c>
      <c r="U35" t="s">
        <v>61</v>
      </c>
      <c r="V35" s="8" t="s">
        <v>34</v>
      </c>
      <c r="W35"/>
      <c r="X35"/>
    </row>
    <row r="36" spans="1:24" hidden="1" x14ac:dyDescent="0.3">
      <c r="A36" t="s">
        <v>167</v>
      </c>
      <c r="B36" t="s">
        <v>168</v>
      </c>
      <c r="C36">
        <v>52</v>
      </c>
      <c r="D36" t="s">
        <v>65</v>
      </c>
      <c r="E36" t="s">
        <v>66</v>
      </c>
      <c r="F36" t="s">
        <v>65</v>
      </c>
      <c r="G36" t="s">
        <v>26</v>
      </c>
      <c r="H36" s="8" t="s">
        <v>27</v>
      </c>
      <c r="I36" s="9">
        <v>61874.09</v>
      </c>
      <c r="J36" s="9">
        <v>81878.09</v>
      </c>
      <c r="K36" s="8" t="s">
        <v>74</v>
      </c>
      <c r="L36" s="10">
        <v>0</v>
      </c>
      <c r="M36" s="8" t="s">
        <v>75</v>
      </c>
      <c r="N36" s="9">
        <v>0</v>
      </c>
      <c r="O36" s="8" t="s">
        <v>30</v>
      </c>
      <c r="P36" t="str">
        <f>TEXT(Table1[[#This Row],[Transaction_Date]],"mmm")</f>
        <v>Jun</v>
      </c>
      <c r="Q36" s="11">
        <v>45822</v>
      </c>
      <c r="R36" s="8" t="s">
        <v>169</v>
      </c>
      <c r="S36" s="8" t="s">
        <v>32</v>
      </c>
      <c r="T36" s="9">
        <v>540.55999999999995</v>
      </c>
      <c r="U36" t="s">
        <v>45</v>
      </c>
      <c r="V36" s="8" t="s">
        <v>46</v>
      </c>
      <c r="W36"/>
      <c r="X36"/>
    </row>
    <row r="37" spans="1:24" x14ac:dyDescent="0.3">
      <c r="A37" t="s">
        <v>170</v>
      </c>
      <c r="B37" t="s">
        <v>157</v>
      </c>
      <c r="C37">
        <v>30</v>
      </c>
      <c r="D37" t="s">
        <v>84</v>
      </c>
      <c r="E37" t="s">
        <v>85</v>
      </c>
      <c r="F37" t="s">
        <v>84</v>
      </c>
      <c r="G37" t="s">
        <v>39</v>
      </c>
      <c r="H37" s="8" t="s">
        <v>51</v>
      </c>
      <c r="I37" s="9">
        <v>45627.29</v>
      </c>
      <c r="J37" s="9">
        <v>24311.17</v>
      </c>
      <c r="K37" s="8" t="s">
        <v>74</v>
      </c>
      <c r="L37" s="10">
        <v>0</v>
      </c>
      <c r="M37" s="8" t="s">
        <v>75</v>
      </c>
      <c r="N37" s="9">
        <v>0</v>
      </c>
      <c r="O37" s="8" t="s">
        <v>30</v>
      </c>
      <c r="P37" t="str">
        <f>TEXT(Table1[[#This Row],[Transaction_Date]],"mmm")</f>
        <v>Apr</v>
      </c>
      <c r="Q37" s="11">
        <v>45775</v>
      </c>
      <c r="R37" s="8" t="s">
        <v>171</v>
      </c>
      <c r="S37" s="8" t="s">
        <v>32</v>
      </c>
      <c r="T37" s="9">
        <v>5326.22</v>
      </c>
      <c r="U37" t="s">
        <v>106</v>
      </c>
      <c r="V37" s="8" t="s">
        <v>34</v>
      </c>
      <c r="W37"/>
      <c r="X37"/>
    </row>
    <row r="38" spans="1:24" hidden="1" x14ac:dyDescent="0.3">
      <c r="A38" t="s">
        <v>172</v>
      </c>
      <c r="B38" t="s">
        <v>173</v>
      </c>
      <c r="C38">
        <v>31</v>
      </c>
      <c r="D38" t="s">
        <v>24</v>
      </c>
      <c r="E38" t="s">
        <v>25</v>
      </c>
      <c r="F38" t="s">
        <v>24</v>
      </c>
      <c r="G38" t="s">
        <v>26</v>
      </c>
      <c r="H38" s="8" t="s">
        <v>27</v>
      </c>
      <c r="I38" s="9">
        <v>85109.89</v>
      </c>
      <c r="J38" s="9">
        <v>40794.43</v>
      </c>
      <c r="K38" s="8" t="s">
        <v>59</v>
      </c>
      <c r="L38" s="10">
        <v>29036.46</v>
      </c>
      <c r="M38" s="8" t="s">
        <v>29</v>
      </c>
      <c r="N38" s="9">
        <v>6124.04</v>
      </c>
      <c r="O38" s="8" t="s">
        <v>30</v>
      </c>
      <c r="P38" t="str">
        <f>TEXT(Table1[[#This Row],[Transaction_Date]],"mmm")</f>
        <v>Apr</v>
      </c>
      <c r="Q38" s="11">
        <v>45755</v>
      </c>
      <c r="R38" s="8" t="s">
        <v>174</v>
      </c>
      <c r="S38" s="8" t="s">
        <v>70</v>
      </c>
      <c r="T38" s="9">
        <v>5919.76</v>
      </c>
      <c r="U38" t="s">
        <v>45</v>
      </c>
      <c r="V38" s="8" t="s">
        <v>62</v>
      </c>
      <c r="W38"/>
      <c r="X38"/>
    </row>
    <row r="39" spans="1:24" x14ac:dyDescent="0.3">
      <c r="A39" t="s">
        <v>175</v>
      </c>
      <c r="B39" t="s">
        <v>176</v>
      </c>
      <c r="C39">
        <v>40</v>
      </c>
      <c r="D39" t="s">
        <v>24</v>
      </c>
      <c r="E39" t="s">
        <v>25</v>
      </c>
      <c r="F39" t="s">
        <v>24</v>
      </c>
      <c r="G39" t="s">
        <v>39</v>
      </c>
      <c r="H39" s="8" t="s">
        <v>27</v>
      </c>
      <c r="I39" s="9">
        <v>76309.83</v>
      </c>
      <c r="J39" s="9">
        <v>4286.8500000000004</v>
      </c>
      <c r="K39" s="8" t="s">
        <v>52</v>
      </c>
      <c r="L39" s="10">
        <v>97178</v>
      </c>
      <c r="M39" s="8" t="s">
        <v>29</v>
      </c>
      <c r="N39" s="9">
        <v>80810.17</v>
      </c>
      <c r="O39" s="8" t="s">
        <v>30</v>
      </c>
      <c r="P39" t="str">
        <f>TEXT(Table1[[#This Row],[Transaction_Date]],"mmm")</f>
        <v>Dec</v>
      </c>
      <c r="Q39" s="11">
        <v>45997</v>
      </c>
      <c r="R39" s="8" t="s">
        <v>177</v>
      </c>
      <c r="S39" s="8" t="s">
        <v>44</v>
      </c>
      <c r="T39" s="9">
        <v>2666.29</v>
      </c>
      <c r="U39" t="s">
        <v>45</v>
      </c>
      <c r="V39" s="8" t="s">
        <v>62</v>
      </c>
      <c r="W39"/>
      <c r="X39"/>
    </row>
    <row r="40" spans="1:24" x14ac:dyDescent="0.3">
      <c r="A40" t="s">
        <v>178</v>
      </c>
      <c r="B40" t="s">
        <v>179</v>
      </c>
      <c r="C40">
        <v>42</v>
      </c>
      <c r="D40" t="s">
        <v>24</v>
      </c>
      <c r="E40" t="s">
        <v>25</v>
      </c>
      <c r="F40" t="s">
        <v>24</v>
      </c>
      <c r="G40" t="s">
        <v>39</v>
      </c>
      <c r="H40" s="8" t="s">
        <v>40</v>
      </c>
      <c r="I40" s="9">
        <v>37114.980000000003</v>
      </c>
      <c r="J40" s="9">
        <v>88382.94</v>
      </c>
      <c r="K40" s="8" t="s">
        <v>41</v>
      </c>
      <c r="L40" s="10">
        <v>91141.57</v>
      </c>
      <c r="M40" s="8" t="s">
        <v>29</v>
      </c>
      <c r="N40" s="9">
        <v>77993.320000000007</v>
      </c>
      <c r="O40" s="8" t="s">
        <v>30</v>
      </c>
      <c r="P40" t="str">
        <f>TEXT(Table1[[#This Row],[Transaction_Date]],"mmm")</f>
        <v>Jun</v>
      </c>
      <c r="Q40" s="11">
        <v>45817</v>
      </c>
      <c r="R40" s="8" t="s">
        <v>180</v>
      </c>
      <c r="S40" s="8" t="s">
        <v>54</v>
      </c>
      <c r="T40" s="9">
        <v>1676.3</v>
      </c>
      <c r="U40" t="s">
        <v>61</v>
      </c>
      <c r="V40" s="8" t="s">
        <v>46</v>
      </c>
      <c r="W40"/>
      <c r="X40"/>
    </row>
    <row r="41" spans="1:24" hidden="1" x14ac:dyDescent="0.3">
      <c r="A41" t="s">
        <v>181</v>
      </c>
      <c r="B41" t="s">
        <v>182</v>
      </c>
      <c r="C41">
        <v>22</v>
      </c>
      <c r="D41" t="s">
        <v>65</v>
      </c>
      <c r="E41" t="s">
        <v>66</v>
      </c>
      <c r="F41" t="s">
        <v>65</v>
      </c>
      <c r="G41" t="s">
        <v>26</v>
      </c>
      <c r="H41" s="8" t="s">
        <v>40</v>
      </c>
      <c r="I41" s="9">
        <v>42819.72</v>
      </c>
      <c r="J41" s="9">
        <v>8593.1200000000008</v>
      </c>
      <c r="K41" s="8" t="s">
        <v>28</v>
      </c>
      <c r="L41" s="10">
        <v>25000</v>
      </c>
      <c r="M41" s="8" t="s">
        <v>29</v>
      </c>
      <c r="N41" s="9">
        <v>17944.900000000001</v>
      </c>
      <c r="O41" s="8" t="s">
        <v>30</v>
      </c>
      <c r="P41" t="str">
        <f>TEXT(Table1[[#This Row],[Transaction_Date]],"mmm")</f>
        <v>Sep</v>
      </c>
      <c r="Q41" s="11">
        <v>45906</v>
      </c>
      <c r="R41" s="8" t="s">
        <v>183</v>
      </c>
      <c r="S41" s="8" t="s">
        <v>44</v>
      </c>
      <c r="T41" s="9">
        <v>3032.51</v>
      </c>
      <c r="U41" t="s">
        <v>33</v>
      </c>
      <c r="V41" s="8" t="s">
        <v>62</v>
      </c>
      <c r="W41"/>
      <c r="X41"/>
    </row>
    <row r="42" spans="1:24" hidden="1" x14ac:dyDescent="0.3">
      <c r="A42" t="s">
        <v>184</v>
      </c>
      <c r="B42" t="s">
        <v>185</v>
      </c>
      <c r="C42">
        <v>61</v>
      </c>
      <c r="D42" t="s">
        <v>65</v>
      </c>
      <c r="E42" t="s">
        <v>66</v>
      </c>
      <c r="F42" t="s">
        <v>65</v>
      </c>
      <c r="G42" t="s">
        <v>80</v>
      </c>
      <c r="H42" s="8" t="s">
        <v>27</v>
      </c>
      <c r="I42" s="9">
        <v>56518.12</v>
      </c>
      <c r="J42" s="9">
        <v>46154.65</v>
      </c>
      <c r="K42" s="8" t="s">
        <v>74</v>
      </c>
      <c r="L42" s="10">
        <v>0</v>
      </c>
      <c r="M42" s="8" t="s">
        <v>75</v>
      </c>
      <c r="N42" s="9">
        <v>0</v>
      </c>
      <c r="O42" s="8" t="s">
        <v>30</v>
      </c>
      <c r="P42" t="str">
        <f>TEXT(Table1[[#This Row],[Transaction_Date]],"mmm")</f>
        <v>Jan</v>
      </c>
      <c r="Q42" s="11">
        <v>45671</v>
      </c>
      <c r="R42" s="8" t="s">
        <v>186</v>
      </c>
      <c r="S42" s="8" t="s">
        <v>70</v>
      </c>
      <c r="T42" s="9">
        <v>1593.16</v>
      </c>
      <c r="U42" t="s">
        <v>106</v>
      </c>
      <c r="V42" s="8" t="s">
        <v>62</v>
      </c>
      <c r="W42"/>
      <c r="X42"/>
    </row>
    <row r="43" spans="1:24" hidden="1" x14ac:dyDescent="0.3">
      <c r="A43" t="s">
        <v>187</v>
      </c>
      <c r="B43" t="s">
        <v>188</v>
      </c>
      <c r="C43">
        <v>18</v>
      </c>
      <c r="D43" t="s">
        <v>24</v>
      </c>
      <c r="E43" t="s">
        <v>25</v>
      </c>
      <c r="F43" t="s">
        <v>24</v>
      </c>
      <c r="G43" t="s">
        <v>80</v>
      </c>
      <c r="H43" s="8" t="s">
        <v>40</v>
      </c>
      <c r="I43" s="9">
        <v>74841</v>
      </c>
      <c r="J43" s="9">
        <v>18277.62</v>
      </c>
      <c r="K43" s="8" t="s">
        <v>74</v>
      </c>
      <c r="L43" s="10">
        <v>0</v>
      </c>
      <c r="M43" s="8" t="s">
        <v>75</v>
      </c>
      <c r="N43" s="9">
        <v>0</v>
      </c>
      <c r="O43" s="8" t="s">
        <v>30</v>
      </c>
      <c r="P43" t="str">
        <f>TEXT(Table1[[#This Row],[Transaction_Date]],"mmm")</f>
        <v>Jan</v>
      </c>
      <c r="Q43" s="11">
        <v>45672</v>
      </c>
      <c r="R43" s="8" t="s">
        <v>189</v>
      </c>
      <c r="S43" s="8" t="s">
        <v>54</v>
      </c>
      <c r="T43" s="9">
        <v>1930.21</v>
      </c>
      <c r="U43" t="s">
        <v>77</v>
      </c>
      <c r="V43" s="8" t="s">
        <v>34</v>
      </c>
      <c r="W43"/>
      <c r="X43"/>
    </row>
    <row r="44" spans="1:24" x14ac:dyDescent="0.3">
      <c r="A44" t="s">
        <v>190</v>
      </c>
      <c r="B44" t="s">
        <v>191</v>
      </c>
      <c r="C44">
        <v>44</v>
      </c>
      <c r="D44" t="s">
        <v>84</v>
      </c>
      <c r="E44" t="s">
        <v>85</v>
      </c>
      <c r="F44" t="s">
        <v>84</v>
      </c>
      <c r="G44" t="s">
        <v>39</v>
      </c>
      <c r="H44" s="8" t="s">
        <v>40</v>
      </c>
      <c r="I44" s="9">
        <v>46397.25</v>
      </c>
      <c r="J44" s="9">
        <v>4266.95</v>
      </c>
      <c r="K44" s="8" t="s">
        <v>28</v>
      </c>
      <c r="L44" s="10">
        <v>47878.46</v>
      </c>
      <c r="M44" s="8" t="s">
        <v>29</v>
      </c>
      <c r="N44" s="9">
        <v>36034.14</v>
      </c>
      <c r="O44" s="8" t="s">
        <v>30</v>
      </c>
      <c r="P44" t="str">
        <f>TEXT(Table1[[#This Row],[Transaction_Date]],"mmm")</f>
        <v>Aug</v>
      </c>
      <c r="Q44" s="11">
        <v>45893</v>
      </c>
      <c r="R44" s="8" t="s">
        <v>192</v>
      </c>
      <c r="S44" s="8" t="s">
        <v>54</v>
      </c>
      <c r="T44" s="9">
        <v>36655.35</v>
      </c>
      <c r="U44" t="s">
        <v>106</v>
      </c>
      <c r="V44" s="8" t="s">
        <v>62</v>
      </c>
      <c r="W44"/>
      <c r="X44"/>
    </row>
    <row r="45" spans="1:24" hidden="1" x14ac:dyDescent="0.3">
      <c r="A45" t="s">
        <v>193</v>
      </c>
      <c r="B45" t="s">
        <v>194</v>
      </c>
      <c r="C45">
        <v>49</v>
      </c>
      <c r="D45" t="s">
        <v>65</v>
      </c>
      <c r="E45" t="s">
        <v>66</v>
      </c>
      <c r="F45" t="s">
        <v>65</v>
      </c>
      <c r="G45" t="s">
        <v>51</v>
      </c>
      <c r="H45" s="8" t="s">
        <v>40</v>
      </c>
      <c r="I45" s="9">
        <v>50462.74</v>
      </c>
      <c r="J45" s="9">
        <v>112143.36</v>
      </c>
      <c r="K45" s="8" t="s">
        <v>74</v>
      </c>
      <c r="L45" s="10">
        <v>0</v>
      </c>
      <c r="M45" s="8" t="s">
        <v>75</v>
      </c>
      <c r="N45" s="9">
        <v>0</v>
      </c>
      <c r="O45" s="8" t="s">
        <v>30</v>
      </c>
      <c r="P45" t="str">
        <f>TEXT(Table1[[#This Row],[Transaction_Date]],"mmm")</f>
        <v>Dec</v>
      </c>
      <c r="Q45" s="11">
        <v>46007</v>
      </c>
      <c r="R45" s="8" t="s">
        <v>195</v>
      </c>
      <c r="S45" s="8" t="s">
        <v>54</v>
      </c>
      <c r="T45" s="9">
        <v>427.74</v>
      </c>
      <c r="U45" t="s">
        <v>45</v>
      </c>
      <c r="V45" s="8" t="s">
        <v>62</v>
      </c>
      <c r="W45"/>
      <c r="X45"/>
    </row>
    <row r="46" spans="1:24" hidden="1" x14ac:dyDescent="0.3">
      <c r="A46" t="s">
        <v>196</v>
      </c>
      <c r="B46" t="s">
        <v>197</v>
      </c>
      <c r="C46">
        <v>47</v>
      </c>
      <c r="D46" t="s">
        <v>57</v>
      </c>
      <c r="E46" t="s">
        <v>58</v>
      </c>
      <c r="F46" t="s">
        <v>57</v>
      </c>
      <c r="G46" t="s">
        <v>51</v>
      </c>
      <c r="H46" s="8" t="s">
        <v>40</v>
      </c>
      <c r="I46" s="9">
        <v>66622.97</v>
      </c>
      <c r="J46" s="9">
        <v>27341.56</v>
      </c>
      <c r="K46" s="8" t="s">
        <v>68</v>
      </c>
      <c r="L46" s="10">
        <v>69956.41</v>
      </c>
      <c r="M46" s="8" t="s">
        <v>29</v>
      </c>
      <c r="N46" s="9">
        <v>43982.26</v>
      </c>
      <c r="O46" s="8" t="s">
        <v>30</v>
      </c>
      <c r="P46" t="str">
        <f>TEXT(Table1[[#This Row],[Transaction_Date]],"mmm")</f>
        <v>Oct</v>
      </c>
      <c r="Q46" s="11">
        <v>45957</v>
      </c>
      <c r="R46" s="8" t="s">
        <v>198</v>
      </c>
      <c r="S46" s="8" t="s">
        <v>54</v>
      </c>
      <c r="T46" s="9">
        <v>7919.27</v>
      </c>
      <c r="U46" t="s">
        <v>33</v>
      </c>
      <c r="V46" s="8" t="s">
        <v>34</v>
      </c>
      <c r="W46"/>
      <c r="X46"/>
    </row>
    <row r="47" spans="1:24" hidden="1" x14ac:dyDescent="0.3">
      <c r="A47" t="s">
        <v>199</v>
      </c>
      <c r="B47" t="s">
        <v>200</v>
      </c>
      <c r="C47">
        <v>28</v>
      </c>
      <c r="D47" t="s">
        <v>37</v>
      </c>
      <c r="E47" t="s">
        <v>38</v>
      </c>
      <c r="F47" t="s">
        <v>37</v>
      </c>
      <c r="G47" t="s">
        <v>26</v>
      </c>
      <c r="H47" s="8" t="s">
        <v>40</v>
      </c>
      <c r="I47" s="9">
        <v>17932.810000000001</v>
      </c>
      <c r="J47" s="9">
        <v>49293.32</v>
      </c>
      <c r="K47" s="8" t="s">
        <v>74</v>
      </c>
      <c r="L47" s="10">
        <v>0</v>
      </c>
      <c r="M47" s="8" t="s">
        <v>75</v>
      </c>
      <c r="N47" s="9">
        <v>0</v>
      </c>
      <c r="O47" s="8" t="s">
        <v>30</v>
      </c>
      <c r="P47" t="str">
        <f>TEXT(Table1[[#This Row],[Transaction_Date]],"mmm")</f>
        <v>Jun</v>
      </c>
      <c r="Q47" s="11">
        <v>45835</v>
      </c>
      <c r="R47" s="8" t="s">
        <v>201</v>
      </c>
      <c r="S47" s="8" t="s">
        <v>44</v>
      </c>
      <c r="T47" s="9">
        <v>19764.59</v>
      </c>
      <c r="U47" t="s">
        <v>33</v>
      </c>
      <c r="V47" s="8" t="s">
        <v>62</v>
      </c>
      <c r="W47"/>
      <c r="X47"/>
    </row>
    <row r="48" spans="1:24" hidden="1" x14ac:dyDescent="0.3">
      <c r="A48" t="s">
        <v>202</v>
      </c>
      <c r="B48" t="s">
        <v>203</v>
      </c>
      <c r="C48">
        <v>61</v>
      </c>
      <c r="D48" t="s">
        <v>84</v>
      </c>
      <c r="E48" t="s">
        <v>85</v>
      </c>
      <c r="F48" t="s">
        <v>84</v>
      </c>
      <c r="G48" t="s">
        <v>80</v>
      </c>
      <c r="H48" s="8" t="s">
        <v>40</v>
      </c>
      <c r="I48" s="9">
        <v>41702.879999999997</v>
      </c>
      <c r="J48" s="9">
        <v>164703.57</v>
      </c>
      <c r="K48" s="8" t="s">
        <v>59</v>
      </c>
      <c r="L48" s="10">
        <v>51026.21</v>
      </c>
      <c r="M48" s="8" t="s">
        <v>42</v>
      </c>
      <c r="N48" s="9">
        <v>0</v>
      </c>
      <c r="O48" s="8" t="s">
        <v>30</v>
      </c>
      <c r="P48" t="str">
        <f>TEXT(Table1[[#This Row],[Transaction_Date]],"mmm")</f>
        <v>Aug</v>
      </c>
      <c r="Q48" s="11">
        <v>45893</v>
      </c>
      <c r="R48" s="8" t="s">
        <v>204</v>
      </c>
      <c r="S48" s="8" t="s">
        <v>44</v>
      </c>
      <c r="T48" s="9">
        <v>3146.9</v>
      </c>
      <c r="U48" t="s">
        <v>33</v>
      </c>
      <c r="V48" s="8" t="s">
        <v>62</v>
      </c>
      <c r="W48"/>
      <c r="X48"/>
    </row>
    <row r="49" spans="1:24" x14ac:dyDescent="0.3">
      <c r="A49" t="s">
        <v>205</v>
      </c>
      <c r="B49" t="s">
        <v>206</v>
      </c>
      <c r="C49">
        <v>46</v>
      </c>
      <c r="D49" t="s">
        <v>65</v>
      </c>
      <c r="E49" t="s">
        <v>66</v>
      </c>
      <c r="F49" t="s">
        <v>65</v>
      </c>
      <c r="G49" t="s">
        <v>39</v>
      </c>
      <c r="H49" s="8" t="s">
        <v>27</v>
      </c>
      <c r="I49" s="9">
        <v>41920.65</v>
      </c>
      <c r="J49" s="9">
        <v>20923.62</v>
      </c>
      <c r="K49" s="8" t="s">
        <v>59</v>
      </c>
      <c r="L49" s="10">
        <v>93082.96</v>
      </c>
      <c r="M49" s="8" t="s">
        <v>29</v>
      </c>
      <c r="N49" s="9">
        <v>30084.35</v>
      </c>
      <c r="O49" s="8" t="s">
        <v>30</v>
      </c>
      <c r="P49" t="str">
        <f>TEXT(Table1[[#This Row],[Transaction_Date]],"mmm")</f>
        <v>Mar</v>
      </c>
      <c r="Q49" s="11">
        <v>45735</v>
      </c>
      <c r="R49" s="8" t="s">
        <v>207</v>
      </c>
      <c r="S49" s="8" t="s">
        <v>70</v>
      </c>
      <c r="T49" s="9">
        <v>7123.29</v>
      </c>
      <c r="U49" t="s">
        <v>106</v>
      </c>
      <c r="V49" s="8" t="s">
        <v>62</v>
      </c>
      <c r="W49"/>
      <c r="X49"/>
    </row>
    <row r="50" spans="1:24" hidden="1" x14ac:dyDescent="0.3">
      <c r="A50" t="s">
        <v>208</v>
      </c>
      <c r="B50" t="s">
        <v>209</v>
      </c>
      <c r="C50">
        <v>34</v>
      </c>
      <c r="D50" t="s">
        <v>24</v>
      </c>
      <c r="E50" t="s">
        <v>25</v>
      </c>
      <c r="F50" t="s">
        <v>24</v>
      </c>
      <c r="G50" t="s">
        <v>26</v>
      </c>
      <c r="H50" s="8" t="s">
        <v>51</v>
      </c>
      <c r="I50" s="9">
        <v>50179.79</v>
      </c>
      <c r="J50" s="9">
        <v>31619.9</v>
      </c>
      <c r="K50" s="8" t="s">
        <v>52</v>
      </c>
      <c r="L50" s="10">
        <v>111530.59</v>
      </c>
      <c r="M50" s="8" t="s">
        <v>42</v>
      </c>
      <c r="N50" s="9">
        <v>0</v>
      </c>
      <c r="O50" s="8" t="s">
        <v>30</v>
      </c>
      <c r="P50" t="str">
        <f>TEXT(Table1[[#This Row],[Transaction_Date]],"mmm")</f>
        <v>Feb</v>
      </c>
      <c r="Q50" s="11">
        <v>45696</v>
      </c>
      <c r="R50" s="8" t="s">
        <v>210</v>
      </c>
      <c r="S50" s="8" t="s">
        <v>54</v>
      </c>
      <c r="T50" s="9">
        <v>457.3</v>
      </c>
      <c r="U50" t="s">
        <v>45</v>
      </c>
      <c r="V50" s="8" t="s">
        <v>62</v>
      </c>
      <c r="W50"/>
      <c r="X50"/>
    </row>
    <row r="51" spans="1:24" hidden="1" x14ac:dyDescent="0.3">
      <c r="A51" t="s">
        <v>211</v>
      </c>
      <c r="B51" t="s">
        <v>212</v>
      </c>
      <c r="C51">
        <v>42</v>
      </c>
      <c r="D51" t="s">
        <v>24</v>
      </c>
      <c r="E51" t="s">
        <v>25</v>
      </c>
      <c r="F51" t="s">
        <v>24</v>
      </c>
      <c r="G51" t="s">
        <v>26</v>
      </c>
      <c r="H51" s="8" t="s">
        <v>51</v>
      </c>
      <c r="I51" s="9">
        <v>76341.710000000006</v>
      </c>
      <c r="J51" s="9">
        <v>17461.78</v>
      </c>
      <c r="K51" s="8" t="s">
        <v>52</v>
      </c>
      <c r="L51" s="10">
        <v>102804.03</v>
      </c>
      <c r="M51" s="8" t="s">
        <v>29</v>
      </c>
      <c r="N51" s="9">
        <v>36331.81</v>
      </c>
      <c r="O51" s="8" t="s">
        <v>30</v>
      </c>
      <c r="P51" t="str">
        <f>TEXT(Table1[[#This Row],[Transaction_Date]],"mmm")</f>
        <v>Jan</v>
      </c>
      <c r="Q51" s="11">
        <v>45662</v>
      </c>
      <c r="R51" s="8" t="s">
        <v>213</v>
      </c>
      <c r="S51" s="8" t="s">
        <v>32</v>
      </c>
      <c r="T51" s="9">
        <v>5889.13</v>
      </c>
      <c r="U51" t="s">
        <v>61</v>
      </c>
      <c r="V51" s="8" t="s">
        <v>62</v>
      </c>
      <c r="W51"/>
      <c r="X51"/>
    </row>
    <row r="52" spans="1:24" hidden="1" x14ac:dyDescent="0.3">
      <c r="A52" t="s">
        <v>214</v>
      </c>
      <c r="B52" t="s">
        <v>215</v>
      </c>
      <c r="C52">
        <v>31</v>
      </c>
      <c r="D52" t="s">
        <v>65</v>
      </c>
      <c r="E52" t="s">
        <v>66</v>
      </c>
      <c r="F52" t="s">
        <v>65</v>
      </c>
      <c r="G52" t="s">
        <v>80</v>
      </c>
      <c r="H52" s="8" t="s">
        <v>40</v>
      </c>
      <c r="I52" s="9">
        <v>44581.05</v>
      </c>
      <c r="J52" s="9">
        <v>75463.25</v>
      </c>
      <c r="K52" s="8" t="s">
        <v>28</v>
      </c>
      <c r="L52" s="10">
        <v>61111.08</v>
      </c>
      <c r="M52" s="8" t="s">
        <v>29</v>
      </c>
      <c r="N52" s="9">
        <v>45047.07</v>
      </c>
      <c r="O52" s="8" t="s">
        <v>30</v>
      </c>
      <c r="P52" t="str">
        <f>TEXT(Table1[[#This Row],[Transaction_Date]],"mmm")</f>
        <v>May</v>
      </c>
      <c r="Q52" s="11">
        <v>45805</v>
      </c>
      <c r="R52" s="8" t="s">
        <v>216</v>
      </c>
      <c r="S52" s="8" t="s">
        <v>54</v>
      </c>
      <c r="T52" s="9">
        <v>3645.95</v>
      </c>
      <c r="U52" t="s">
        <v>106</v>
      </c>
      <c r="V52" s="8" t="s">
        <v>34</v>
      </c>
      <c r="W52"/>
      <c r="X52"/>
    </row>
    <row r="53" spans="1:24" x14ac:dyDescent="0.3">
      <c r="A53" t="s">
        <v>217</v>
      </c>
      <c r="B53" t="s">
        <v>218</v>
      </c>
      <c r="C53">
        <v>27</v>
      </c>
      <c r="D53" t="s">
        <v>65</v>
      </c>
      <c r="E53" t="s">
        <v>66</v>
      </c>
      <c r="F53" t="s">
        <v>65</v>
      </c>
      <c r="G53" t="s">
        <v>39</v>
      </c>
      <c r="H53" s="8" t="s">
        <v>67</v>
      </c>
      <c r="I53" s="9">
        <v>16085.65</v>
      </c>
      <c r="J53" s="9">
        <v>3790.39</v>
      </c>
      <c r="K53" s="8" t="s">
        <v>59</v>
      </c>
      <c r="L53" s="10">
        <v>43049.32</v>
      </c>
      <c r="M53" s="8" t="s">
        <v>29</v>
      </c>
      <c r="N53" s="9">
        <v>27754.85</v>
      </c>
      <c r="O53" s="8" t="s">
        <v>30</v>
      </c>
      <c r="P53" t="str">
        <f>TEXT(Table1[[#This Row],[Transaction_Date]],"mmm")</f>
        <v>Nov</v>
      </c>
      <c r="Q53" s="11">
        <v>45981</v>
      </c>
      <c r="R53" s="8" t="s">
        <v>219</v>
      </c>
      <c r="S53" s="8" t="s">
        <v>32</v>
      </c>
      <c r="T53" s="9">
        <v>1142.1600000000001</v>
      </c>
      <c r="U53" t="s">
        <v>45</v>
      </c>
      <c r="V53" s="8" t="s">
        <v>46</v>
      </c>
      <c r="W53"/>
      <c r="X53"/>
    </row>
    <row r="54" spans="1:24" hidden="1" x14ac:dyDescent="0.3">
      <c r="A54" t="s">
        <v>220</v>
      </c>
      <c r="B54" t="s">
        <v>221</v>
      </c>
      <c r="C54">
        <v>53</v>
      </c>
      <c r="D54" t="s">
        <v>37</v>
      </c>
      <c r="E54" t="s">
        <v>38</v>
      </c>
      <c r="F54" t="s">
        <v>37</v>
      </c>
      <c r="G54" t="s">
        <v>80</v>
      </c>
      <c r="H54" s="8" t="s">
        <v>40</v>
      </c>
      <c r="I54" s="9">
        <v>66526.960000000006</v>
      </c>
      <c r="J54" s="9">
        <v>185526.48</v>
      </c>
      <c r="K54" s="8" t="s">
        <v>28</v>
      </c>
      <c r="L54" s="10">
        <v>38520.080000000002</v>
      </c>
      <c r="M54" s="8" t="s">
        <v>29</v>
      </c>
      <c r="N54" s="9">
        <v>30898.5</v>
      </c>
      <c r="O54" s="8" t="s">
        <v>30</v>
      </c>
      <c r="P54" t="str">
        <f>TEXT(Table1[[#This Row],[Transaction_Date]],"mmm")</f>
        <v>Oct</v>
      </c>
      <c r="Q54" s="11">
        <v>45948</v>
      </c>
      <c r="R54" s="8" t="s">
        <v>222</v>
      </c>
      <c r="S54" s="8" t="s">
        <v>44</v>
      </c>
      <c r="T54" s="9">
        <v>2347.81</v>
      </c>
      <c r="U54" t="s">
        <v>33</v>
      </c>
      <c r="V54" s="8" t="s">
        <v>62</v>
      </c>
      <c r="W54"/>
      <c r="X54"/>
    </row>
    <row r="55" spans="1:24" x14ac:dyDescent="0.3">
      <c r="A55" t="s">
        <v>223</v>
      </c>
      <c r="B55" t="s">
        <v>224</v>
      </c>
      <c r="C55">
        <v>48</v>
      </c>
      <c r="D55" t="s">
        <v>37</v>
      </c>
      <c r="E55" t="s">
        <v>38</v>
      </c>
      <c r="F55" t="s">
        <v>37</v>
      </c>
      <c r="G55" t="s">
        <v>39</v>
      </c>
      <c r="H55" s="8" t="s">
        <v>51</v>
      </c>
      <c r="I55" s="9">
        <v>54853.62</v>
      </c>
      <c r="J55" s="9">
        <v>23604.83</v>
      </c>
      <c r="K55" s="8" t="s">
        <v>68</v>
      </c>
      <c r="L55" s="10">
        <v>25000</v>
      </c>
      <c r="M55" s="8" t="s">
        <v>29</v>
      </c>
      <c r="N55" s="9">
        <v>22153.360000000001</v>
      </c>
      <c r="O55" s="8" t="s">
        <v>30</v>
      </c>
      <c r="P55" t="str">
        <f>TEXT(Table1[[#This Row],[Transaction_Date]],"mmm")</f>
        <v>Mar</v>
      </c>
      <c r="Q55" s="11">
        <v>45720</v>
      </c>
      <c r="R55" s="8" t="s">
        <v>225</v>
      </c>
      <c r="S55" s="8" t="s">
        <v>54</v>
      </c>
      <c r="T55" s="9">
        <v>2130.27</v>
      </c>
      <c r="U55" t="s">
        <v>77</v>
      </c>
      <c r="V55" s="8" t="s">
        <v>62</v>
      </c>
      <c r="W55"/>
      <c r="X55"/>
    </row>
    <row r="56" spans="1:24" hidden="1" x14ac:dyDescent="0.3">
      <c r="A56" t="s">
        <v>226</v>
      </c>
      <c r="B56" t="s">
        <v>227</v>
      </c>
      <c r="C56">
        <v>30</v>
      </c>
      <c r="D56" t="s">
        <v>57</v>
      </c>
      <c r="E56" t="s">
        <v>58</v>
      </c>
      <c r="F56" t="s">
        <v>57</v>
      </c>
      <c r="G56" t="s">
        <v>26</v>
      </c>
      <c r="H56" s="8" t="s">
        <v>40</v>
      </c>
      <c r="I56" s="9">
        <v>58481.63</v>
      </c>
      <c r="J56" s="9">
        <v>24356.63</v>
      </c>
      <c r="K56" s="8" t="s">
        <v>59</v>
      </c>
      <c r="L56" s="10">
        <v>36019.85</v>
      </c>
      <c r="M56" s="8" t="s">
        <v>29</v>
      </c>
      <c r="N56" s="9">
        <v>12874.55</v>
      </c>
      <c r="O56" s="8" t="s">
        <v>228</v>
      </c>
      <c r="P56" t="str">
        <f>TEXT(Table1[[#This Row],[Transaction_Date]],"mmm")</f>
        <v>Feb</v>
      </c>
      <c r="Q56" s="11">
        <v>45689</v>
      </c>
      <c r="R56" s="8" t="s">
        <v>229</v>
      </c>
      <c r="S56" s="8" t="s">
        <v>44</v>
      </c>
      <c r="T56" s="9">
        <v>3114.82</v>
      </c>
      <c r="U56" t="s">
        <v>45</v>
      </c>
      <c r="V56" s="8" t="s">
        <v>62</v>
      </c>
      <c r="W56"/>
      <c r="X56"/>
    </row>
    <row r="57" spans="1:24" hidden="1" x14ac:dyDescent="0.3">
      <c r="A57" t="s">
        <v>230</v>
      </c>
      <c r="B57" t="s">
        <v>231</v>
      </c>
      <c r="C57">
        <v>50</v>
      </c>
      <c r="D57" t="s">
        <v>84</v>
      </c>
      <c r="E57" t="s">
        <v>85</v>
      </c>
      <c r="F57" t="s">
        <v>84</v>
      </c>
      <c r="G57" t="s">
        <v>26</v>
      </c>
      <c r="H57" s="8" t="s">
        <v>51</v>
      </c>
      <c r="I57" s="9">
        <v>29094.38</v>
      </c>
      <c r="J57" s="9">
        <v>10932.59</v>
      </c>
      <c r="K57" s="8" t="s">
        <v>28</v>
      </c>
      <c r="L57" s="10">
        <v>69757.23</v>
      </c>
      <c r="M57" s="8" t="s">
        <v>29</v>
      </c>
      <c r="N57" s="9">
        <v>59038.28</v>
      </c>
      <c r="O57" s="8" t="s">
        <v>228</v>
      </c>
      <c r="P57" t="str">
        <f>TEXT(Table1[[#This Row],[Transaction_Date]],"mmm")</f>
        <v>Oct</v>
      </c>
      <c r="Q57" s="11">
        <v>45945</v>
      </c>
      <c r="R57" s="8" t="s">
        <v>232</v>
      </c>
      <c r="S57" s="8" t="s">
        <v>54</v>
      </c>
      <c r="T57" s="9">
        <v>4447.53</v>
      </c>
      <c r="U57" t="s">
        <v>71</v>
      </c>
      <c r="V57" s="8" t="s">
        <v>62</v>
      </c>
      <c r="W57"/>
      <c r="X57"/>
    </row>
    <row r="58" spans="1:24" x14ac:dyDescent="0.3">
      <c r="A58" t="s">
        <v>233</v>
      </c>
      <c r="B58" t="s">
        <v>234</v>
      </c>
      <c r="C58">
        <v>49</v>
      </c>
      <c r="D58" t="s">
        <v>84</v>
      </c>
      <c r="E58" t="s">
        <v>85</v>
      </c>
      <c r="F58" t="s">
        <v>84</v>
      </c>
      <c r="G58" t="s">
        <v>39</v>
      </c>
      <c r="H58" s="8" t="s">
        <v>27</v>
      </c>
      <c r="I58" s="9">
        <v>30160.86</v>
      </c>
      <c r="J58" s="9">
        <v>43361.95</v>
      </c>
      <c r="K58" s="8" t="s">
        <v>68</v>
      </c>
      <c r="L58" s="10">
        <v>40401</v>
      </c>
      <c r="M58" s="8" t="s">
        <v>29</v>
      </c>
      <c r="N58" s="9">
        <v>15297.32</v>
      </c>
      <c r="O58" s="8" t="s">
        <v>30</v>
      </c>
      <c r="P58" t="str">
        <f>TEXT(Table1[[#This Row],[Transaction_Date]],"mmm")</f>
        <v>Apr</v>
      </c>
      <c r="Q58" s="11">
        <v>45753</v>
      </c>
      <c r="R58" s="8" t="s">
        <v>235</v>
      </c>
      <c r="S58" s="8" t="s">
        <v>32</v>
      </c>
      <c r="T58" s="9">
        <v>3403.97</v>
      </c>
      <c r="U58" t="s">
        <v>71</v>
      </c>
      <c r="V58" s="8" t="s">
        <v>62</v>
      </c>
      <c r="W58"/>
      <c r="X58"/>
    </row>
    <row r="59" spans="1:24" hidden="1" x14ac:dyDescent="0.3">
      <c r="A59" t="s">
        <v>236</v>
      </c>
      <c r="B59" t="s">
        <v>237</v>
      </c>
      <c r="C59">
        <v>25</v>
      </c>
      <c r="D59" t="s">
        <v>24</v>
      </c>
      <c r="E59" t="s">
        <v>25</v>
      </c>
      <c r="F59" t="s">
        <v>24</v>
      </c>
      <c r="G59" t="s">
        <v>51</v>
      </c>
      <c r="H59" s="8" t="s">
        <v>40</v>
      </c>
      <c r="I59" s="9">
        <v>70154.44</v>
      </c>
      <c r="J59" s="9">
        <v>39844.85</v>
      </c>
      <c r="K59" s="8" t="s">
        <v>41</v>
      </c>
      <c r="L59" s="10">
        <v>84972.84</v>
      </c>
      <c r="M59" s="8" t="s">
        <v>29</v>
      </c>
      <c r="N59" s="9">
        <v>72850.02</v>
      </c>
      <c r="O59" s="8" t="s">
        <v>30</v>
      </c>
      <c r="P59" t="str">
        <f>TEXT(Table1[[#This Row],[Transaction_Date]],"mmm")</f>
        <v>Mar</v>
      </c>
      <c r="Q59" s="11">
        <v>45739</v>
      </c>
      <c r="R59" s="8" t="s">
        <v>238</v>
      </c>
      <c r="S59" s="8" t="s">
        <v>32</v>
      </c>
      <c r="T59" s="9">
        <v>1237.19</v>
      </c>
      <c r="U59" t="s">
        <v>45</v>
      </c>
      <c r="V59" s="8" t="s">
        <v>62</v>
      </c>
      <c r="W59"/>
      <c r="X59"/>
    </row>
    <row r="60" spans="1:24" x14ac:dyDescent="0.3">
      <c r="A60" t="s">
        <v>239</v>
      </c>
      <c r="B60" t="s">
        <v>240</v>
      </c>
      <c r="C60">
        <v>50</v>
      </c>
      <c r="D60" t="s">
        <v>97</v>
      </c>
      <c r="E60" t="s">
        <v>98</v>
      </c>
      <c r="F60" t="s">
        <v>97</v>
      </c>
      <c r="G60" t="s">
        <v>39</v>
      </c>
      <c r="H60" s="8" t="s">
        <v>27</v>
      </c>
      <c r="I60" s="9">
        <v>43011.71</v>
      </c>
      <c r="J60" s="9">
        <v>5986.27</v>
      </c>
      <c r="K60" s="8" t="s">
        <v>52</v>
      </c>
      <c r="L60" s="10">
        <v>124102.98</v>
      </c>
      <c r="M60" s="8" t="s">
        <v>42</v>
      </c>
      <c r="N60" s="9">
        <v>0</v>
      </c>
      <c r="O60" s="8" t="s">
        <v>30</v>
      </c>
      <c r="P60" t="str">
        <f>TEXT(Table1[[#This Row],[Transaction_Date]],"mmm")</f>
        <v>Jul</v>
      </c>
      <c r="Q60" s="11">
        <v>45866</v>
      </c>
      <c r="R60" s="8" t="s">
        <v>241</v>
      </c>
      <c r="S60" s="8" t="s">
        <v>44</v>
      </c>
      <c r="T60" s="9">
        <v>2601.08</v>
      </c>
      <c r="U60" t="s">
        <v>33</v>
      </c>
      <c r="V60" s="8" t="s">
        <v>46</v>
      </c>
      <c r="W60"/>
      <c r="X60"/>
    </row>
    <row r="61" spans="1:24" x14ac:dyDescent="0.3">
      <c r="A61" t="s">
        <v>242</v>
      </c>
      <c r="B61" t="s">
        <v>243</v>
      </c>
      <c r="C61">
        <v>21</v>
      </c>
      <c r="D61" t="s">
        <v>92</v>
      </c>
      <c r="E61" t="s">
        <v>93</v>
      </c>
      <c r="F61" t="s">
        <v>92</v>
      </c>
      <c r="G61" t="s">
        <v>39</v>
      </c>
      <c r="H61" s="8" t="s">
        <v>51</v>
      </c>
      <c r="I61" s="9">
        <v>43125.29</v>
      </c>
      <c r="J61" s="9">
        <v>16721.47</v>
      </c>
      <c r="K61" s="8" t="s">
        <v>52</v>
      </c>
      <c r="L61" s="10">
        <v>33398.67</v>
      </c>
      <c r="M61" s="8" t="s">
        <v>29</v>
      </c>
      <c r="N61" s="9">
        <v>29582.01</v>
      </c>
      <c r="O61" s="8" t="s">
        <v>30</v>
      </c>
      <c r="P61" t="str">
        <f>TEXT(Table1[[#This Row],[Transaction_Date]],"mmm")</f>
        <v>Dec</v>
      </c>
      <c r="Q61" s="11">
        <v>46013</v>
      </c>
      <c r="R61" s="8" t="s">
        <v>244</v>
      </c>
      <c r="S61" s="8" t="s">
        <v>44</v>
      </c>
      <c r="T61" s="9">
        <v>2312.17</v>
      </c>
      <c r="U61" t="s">
        <v>71</v>
      </c>
      <c r="V61" s="8" t="s">
        <v>46</v>
      </c>
      <c r="W61"/>
      <c r="X61"/>
    </row>
    <row r="62" spans="1:24" x14ac:dyDescent="0.3">
      <c r="A62" t="s">
        <v>245</v>
      </c>
      <c r="B62" t="s">
        <v>246</v>
      </c>
      <c r="C62">
        <v>29</v>
      </c>
      <c r="D62" t="s">
        <v>84</v>
      </c>
      <c r="E62" t="s">
        <v>85</v>
      </c>
      <c r="F62" t="s">
        <v>84</v>
      </c>
      <c r="G62" t="s">
        <v>39</v>
      </c>
      <c r="H62" s="8" t="s">
        <v>40</v>
      </c>
      <c r="I62" s="9">
        <v>73577.73</v>
      </c>
      <c r="J62" s="9">
        <v>11786.82</v>
      </c>
      <c r="K62" s="8" t="s">
        <v>68</v>
      </c>
      <c r="L62" s="10">
        <v>55595.24</v>
      </c>
      <c r="M62" s="8" t="s">
        <v>29</v>
      </c>
      <c r="N62" s="9">
        <v>46065.120000000003</v>
      </c>
      <c r="O62" s="8" t="s">
        <v>30</v>
      </c>
      <c r="P62" t="str">
        <f>TEXT(Table1[[#This Row],[Transaction_Date]],"mmm")</f>
        <v>Jul</v>
      </c>
      <c r="Q62" s="11">
        <v>45847</v>
      </c>
      <c r="R62" s="8" t="s">
        <v>247</v>
      </c>
      <c r="S62" s="8" t="s">
        <v>70</v>
      </c>
      <c r="T62" s="9">
        <v>29672</v>
      </c>
      <c r="U62" t="s">
        <v>106</v>
      </c>
      <c r="V62" s="8" t="s">
        <v>62</v>
      </c>
      <c r="W62"/>
      <c r="X62"/>
    </row>
    <row r="63" spans="1:24" hidden="1" x14ac:dyDescent="0.3">
      <c r="A63" t="s">
        <v>248</v>
      </c>
      <c r="B63" t="s">
        <v>179</v>
      </c>
      <c r="C63">
        <v>35</v>
      </c>
      <c r="D63" t="s">
        <v>97</v>
      </c>
      <c r="E63" t="s">
        <v>98</v>
      </c>
      <c r="F63" t="s">
        <v>97</v>
      </c>
      <c r="G63" t="s">
        <v>80</v>
      </c>
      <c r="H63" s="8" t="s">
        <v>67</v>
      </c>
      <c r="I63" s="9">
        <v>67788.92</v>
      </c>
      <c r="J63" s="9">
        <v>63963.87</v>
      </c>
      <c r="K63" s="8" t="s">
        <v>52</v>
      </c>
      <c r="L63" s="10">
        <v>47647.47</v>
      </c>
      <c r="M63" s="8" t="s">
        <v>42</v>
      </c>
      <c r="N63" s="9">
        <v>0</v>
      </c>
      <c r="O63" s="8" t="s">
        <v>30</v>
      </c>
      <c r="P63" t="str">
        <f>TEXT(Table1[[#This Row],[Transaction_Date]],"mmm")</f>
        <v>Mar</v>
      </c>
      <c r="Q63" s="11">
        <v>45726</v>
      </c>
      <c r="R63" s="8" t="s">
        <v>249</v>
      </c>
      <c r="S63" s="8" t="s">
        <v>44</v>
      </c>
      <c r="T63" s="9">
        <v>3613.38</v>
      </c>
      <c r="U63" t="s">
        <v>71</v>
      </c>
      <c r="V63" s="8" t="s">
        <v>62</v>
      </c>
      <c r="W63"/>
      <c r="X63"/>
    </row>
    <row r="64" spans="1:24" hidden="1" x14ac:dyDescent="0.3">
      <c r="A64" t="s">
        <v>250</v>
      </c>
      <c r="B64" t="s">
        <v>251</v>
      </c>
      <c r="C64">
        <v>18</v>
      </c>
      <c r="D64" t="s">
        <v>37</v>
      </c>
      <c r="E64" t="s">
        <v>38</v>
      </c>
      <c r="F64" t="s">
        <v>37</v>
      </c>
      <c r="G64" t="s">
        <v>51</v>
      </c>
      <c r="H64" s="8" t="s">
        <v>27</v>
      </c>
      <c r="I64" s="9">
        <v>60335.45</v>
      </c>
      <c r="J64" s="9">
        <v>18366.099999999999</v>
      </c>
      <c r="K64" s="8" t="s">
        <v>68</v>
      </c>
      <c r="L64" s="10">
        <v>68520.210000000006</v>
      </c>
      <c r="M64" s="8" t="s">
        <v>29</v>
      </c>
      <c r="N64" s="9">
        <v>49081.15</v>
      </c>
      <c r="O64" s="8" t="s">
        <v>30</v>
      </c>
      <c r="P64" t="str">
        <f>TEXT(Table1[[#This Row],[Transaction_Date]],"mmm")</f>
        <v>Feb</v>
      </c>
      <c r="Q64" s="11">
        <v>45696</v>
      </c>
      <c r="R64" s="8" t="s">
        <v>252</v>
      </c>
      <c r="S64" s="8" t="s">
        <v>54</v>
      </c>
      <c r="T64" s="9">
        <v>2985.79</v>
      </c>
      <c r="U64" t="s">
        <v>71</v>
      </c>
      <c r="V64" s="8" t="s">
        <v>62</v>
      </c>
      <c r="W64"/>
      <c r="X64"/>
    </row>
    <row r="65" spans="1:24" hidden="1" x14ac:dyDescent="0.3">
      <c r="A65" t="s">
        <v>253</v>
      </c>
      <c r="B65" t="s">
        <v>254</v>
      </c>
      <c r="C65">
        <v>34</v>
      </c>
      <c r="D65" t="s">
        <v>84</v>
      </c>
      <c r="E65" t="s">
        <v>85</v>
      </c>
      <c r="F65" t="s">
        <v>84</v>
      </c>
      <c r="G65" t="s">
        <v>51</v>
      </c>
      <c r="H65" s="8" t="s">
        <v>27</v>
      </c>
      <c r="I65" s="9">
        <v>25974.35</v>
      </c>
      <c r="J65" s="9">
        <v>14369.76</v>
      </c>
      <c r="K65" s="8" t="s">
        <v>74</v>
      </c>
      <c r="L65" s="10">
        <v>0</v>
      </c>
      <c r="M65" s="8" t="s">
        <v>75</v>
      </c>
      <c r="N65" s="9">
        <v>0</v>
      </c>
      <c r="O65" s="8" t="s">
        <v>30</v>
      </c>
      <c r="P65" t="str">
        <f>TEXT(Table1[[#This Row],[Transaction_Date]],"mmm")</f>
        <v>Nov</v>
      </c>
      <c r="Q65" s="11">
        <v>45975</v>
      </c>
      <c r="R65" s="8" t="s">
        <v>255</v>
      </c>
      <c r="S65" s="8" t="s">
        <v>32</v>
      </c>
      <c r="T65" s="9">
        <v>1664.17</v>
      </c>
      <c r="U65" t="s">
        <v>61</v>
      </c>
      <c r="V65" s="8" t="s">
        <v>62</v>
      </c>
      <c r="W65"/>
      <c r="X65"/>
    </row>
    <row r="66" spans="1:24" x14ac:dyDescent="0.3">
      <c r="A66" t="s">
        <v>256</v>
      </c>
      <c r="B66" t="s">
        <v>257</v>
      </c>
      <c r="C66">
        <v>53</v>
      </c>
      <c r="D66" t="s">
        <v>84</v>
      </c>
      <c r="E66" t="s">
        <v>85</v>
      </c>
      <c r="F66" t="s">
        <v>84</v>
      </c>
      <c r="G66" t="s">
        <v>39</v>
      </c>
      <c r="H66" s="8" t="s">
        <v>27</v>
      </c>
      <c r="I66" s="9">
        <v>48767.06</v>
      </c>
      <c r="J66" s="9">
        <v>56940.83</v>
      </c>
      <c r="K66" s="8" t="s">
        <v>41</v>
      </c>
      <c r="L66" s="10">
        <v>65613.740000000005</v>
      </c>
      <c r="M66" s="8" t="s">
        <v>29</v>
      </c>
      <c r="N66" s="9">
        <v>15296.14</v>
      </c>
      <c r="O66" s="8" t="s">
        <v>30</v>
      </c>
      <c r="P66" t="str">
        <f>TEXT(Table1[[#This Row],[Transaction_Date]],"mmm")</f>
        <v>Oct</v>
      </c>
      <c r="Q66" s="11">
        <v>45939</v>
      </c>
      <c r="R66" s="8" t="s">
        <v>258</v>
      </c>
      <c r="S66" s="8" t="s">
        <v>70</v>
      </c>
      <c r="T66" s="9">
        <v>1011.25</v>
      </c>
      <c r="U66" t="s">
        <v>33</v>
      </c>
      <c r="V66" s="8" t="s">
        <v>62</v>
      </c>
      <c r="W66"/>
      <c r="X66"/>
    </row>
    <row r="67" spans="1:24" x14ac:dyDescent="0.3">
      <c r="A67" t="s">
        <v>259</v>
      </c>
      <c r="B67" t="s">
        <v>138</v>
      </c>
      <c r="C67">
        <v>50</v>
      </c>
      <c r="D67" t="s">
        <v>57</v>
      </c>
      <c r="E67" t="s">
        <v>58</v>
      </c>
      <c r="F67" t="s">
        <v>57</v>
      </c>
      <c r="G67" t="s">
        <v>39</v>
      </c>
      <c r="H67" s="8" t="s">
        <v>67</v>
      </c>
      <c r="I67" s="9">
        <v>12000</v>
      </c>
      <c r="J67" s="9">
        <v>72063.77</v>
      </c>
      <c r="K67" s="8" t="s">
        <v>59</v>
      </c>
      <c r="L67" s="10">
        <v>164537.18</v>
      </c>
      <c r="M67" s="8" t="s">
        <v>29</v>
      </c>
      <c r="N67" s="9">
        <v>102096.62</v>
      </c>
      <c r="O67" s="8" t="s">
        <v>30</v>
      </c>
      <c r="P67" t="str">
        <f>TEXT(Table1[[#This Row],[Transaction_Date]],"mmm")</f>
        <v>May</v>
      </c>
      <c r="Q67" s="11">
        <v>45788</v>
      </c>
      <c r="R67" s="8" t="s">
        <v>260</v>
      </c>
      <c r="S67" s="8" t="s">
        <v>70</v>
      </c>
      <c r="T67" s="9">
        <v>10909.68</v>
      </c>
      <c r="U67" t="s">
        <v>71</v>
      </c>
      <c r="V67" s="8" t="s">
        <v>62</v>
      </c>
      <c r="W67"/>
      <c r="X67"/>
    </row>
    <row r="68" spans="1:24" hidden="1" x14ac:dyDescent="0.3">
      <c r="A68" t="s">
        <v>261</v>
      </c>
      <c r="B68" t="s">
        <v>262</v>
      </c>
      <c r="C68">
        <v>62</v>
      </c>
      <c r="D68" t="s">
        <v>65</v>
      </c>
      <c r="E68" t="s">
        <v>66</v>
      </c>
      <c r="F68" t="s">
        <v>65</v>
      </c>
      <c r="G68" t="s">
        <v>26</v>
      </c>
      <c r="H68" s="8" t="s">
        <v>27</v>
      </c>
      <c r="I68" s="9">
        <v>56810.25</v>
      </c>
      <c r="J68" s="9">
        <v>35887.35</v>
      </c>
      <c r="K68" s="8" t="s">
        <v>41</v>
      </c>
      <c r="L68" s="10">
        <v>133133.85</v>
      </c>
      <c r="M68" s="8" t="s">
        <v>42</v>
      </c>
      <c r="N68" s="9">
        <v>0</v>
      </c>
      <c r="O68" s="8" t="s">
        <v>30</v>
      </c>
      <c r="P68" t="str">
        <f>TEXT(Table1[[#This Row],[Transaction_Date]],"mmm")</f>
        <v>Aug</v>
      </c>
      <c r="Q68" s="11">
        <v>45884</v>
      </c>
      <c r="R68" s="8" t="s">
        <v>263</v>
      </c>
      <c r="S68" s="8" t="s">
        <v>54</v>
      </c>
      <c r="T68" s="9">
        <v>56059.95</v>
      </c>
      <c r="U68" t="s">
        <v>33</v>
      </c>
      <c r="V68" s="8" t="s">
        <v>34</v>
      </c>
      <c r="W68"/>
      <c r="X68"/>
    </row>
    <row r="69" spans="1:24" x14ac:dyDescent="0.3">
      <c r="A69" t="s">
        <v>264</v>
      </c>
      <c r="B69" t="s">
        <v>265</v>
      </c>
      <c r="C69">
        <v>30</v>
      </c>
      <c r="D69" t="s">
        <v>65</v>
      </c>
      <c r="E69" t="s">
        <v>66</v>
      </c>
      <c r="F69" t="s">
        <v>65</v>
      </c>
      <c r="G69" t="s">
        <v>39</v>
      </c>
      <c r="H69" s="8" t="s">
        <v>40</v>
      </c>
      <c r="I69" s="9">
        <v>52037.2</v>
      </c>
      <c r="J69" s="9">
        <v>24171</v>
      </c>
      <c r="K69" s="8" t="s">
        <v>74</v>
      </c>
      <c r="L69" s="10">
        <v>0</v>
      </c>
      <c r="M69" s="8" t="s">
        <v>75</v>
      </c>
      <c r="N69" s="9">
        <v>0</v>
      </c>
      <c r="O69" s="8" t="s">
        <v>30</v>
      </c>
      <c r="P69" t="str">
        <f>TEXT(Table1[[#This Row],[Transaction_Date]],"mmm")</f>
        <v>Jun</v>
      </c>
      <c r="Q69" s="11">
        <v>45815</v>
      </c>
      <c r="R69" s="8" t="s">
        <v>266</v>
      </c>
      <c r="S69" s="8" t="s">
        <v>32</v>
      </c>
      <c r="T69" s="9">
        <v>4066.47</v>
      </c>
      <c r="U69" t="s">
        <v>61</v>
      </c>
      <c r="V69" s="8" t="s">
        <v>34</v>
      </c>
      <c r="W69"/>
      <c r="X69"/>
    </row>
    <row r="70" spans="1:24" x14ac:dyDescent="0.3">
      <c r="A70" t="s">
        <v>267</v>
      </c>
      <c r="B70" t="s">
        <v>48</v>
      </c>
      <c r="C70">
        <v>57</v>
      </c>
      <c r="D70" t="s">
        <v>84</v>
      </c>
      <c r="E70" t="s">
        <v>85</v>
      </c>
      <c r="F70" t="s">
        <v>84</v>
      </c>
      <c r="G70" t="s">
        <v>39</v>
      </c>
      <c r="H70" s="8" t="s">
        <v>40</v>
      </c>
      <c r="I70" s="9">
        <v>50292.25</v>
      </c>
      <c r="J70" s="9">
        <v>53501.120000000003</v>
      </c>
      <c r="K70" s="8" t="s">
        <v>74</v>
      </c>
      <c r="L70" s="10">
        <v>0</v>
      </c>
      <c r="M70" s="8" t="s">
        <v>75</v>
      </c>
      <c r="N70" s="9">
        <v>0</v>
      </c>
      <c r="O70" s="8" t="s">
        <v>30</v>
      </c>
      <c r="P70" t="str">
        <f>TEXT(Table1[[#This Row],[Transaction_Date]],"mmm")</f>
        <v>Oct</v>
      </c>
      <c r="Q70" s="11">
        <v>45959</v>
      </c>
      <c r="R70" s="8" t="s">
        <v>268</v>
      </c>
      <c r="S70" s="8" t="s">
        <v>70</v>
      </c>
      <c r="T70" s="9">
        <v>2705.12</v>
      </c>
      <c r="U70" t="s">
        <v>61</v>
      </c>
      <c r="V70" s="8" t="s">
        <v>34</v>
      </c>
      <c r="W70"/>
      <c r="X70"/>
    </row>
    <row r="71" spans="1:24" hidden="1" x14ac:dyDescent="0.3">
      <c r="A71" t="s">
        <v>269</v>
      </c>
      <c r="B71" t="s">
        <v>270</v>
      </c>
      <c r="C71">
        <v>38</v>
      </c>
      <c r="D71" t="s">
        <v>92</v>
      </c>
      <c r="E71" t="s">
        <v>93</v>
      </c>
      <c r="F71" t="s">
        <v>92</v>
      </c>
      <c r="G71" t="s">
        <v>26</v>
      </c>
      <c r="H71" s="8" t="s">
        <v>51</v>
      </c>
      <c r="I71" s="9">
        <v>52710.91</v>
      </c>
      <c r="J71" s="9">
        <v>17453.689999999999</v>
      </c>
      <c r="K71" s="8" t="s">
        <v>59</v>
      </c>
      <c r="L71" s="10">
        <v>88119.99</v>
      </c>
      <c r="M71" s="8" t="s">
        <v>29</v>
      </c>
      <c r="N71" s="9">
        <v>51875.82</v>
      </c>
      <c r="O71" s="8" t="s">
        <v>30</v>
      </c>
      <c r="P71" t="str">
        <f>TEXT(Table1[[#This Row],[Transaction_Date]],"mmm")</f>
        <v>Aug</v>
      </c>
      <c r="Q71" s="11">
        <v>45898</v>
      </c>
      <c r="R71" s="8" t="s">
        <v>271</v>
      </c>
      <c r="S71" s="8" t="s">
        <v>54</v>
      </c>
      <c r="T71" s="9">
        <v>13775.59</v>
      </c>
      <c r="U71" t="s">
        <v>33</v>
      </c>
      <c r="V71" s="8" t="s">
        <v>62</v>
      </c>
      <c r="W71"/>
      <c r="X71"/>
    </row>
    <row r="72" spans="1:24" x14ac:dyDescent="0.3">
      <c r="A72" t="s">
        <v>272</v>
      </c>
      <c r="B72" t="s">
        <v>273</v>
      </c>
      <c r="C72">
        <v>28</v>
      </c>
      <c r="D72" t="s">
        <v>97</v>
      </c>
      <c r="E72" t="s">
        <v>98</v>
      </c>
      <c r="F72" t="s">
        <v>97</v>
      </c>
      <c r="G72" t="s">
        <v>39</v>
      </c>
      <c r="H72" s="8" t="s">
        <v>27</v>
      </c>
      <c r="I72" s="9">
        <v>52072.72</v>
      </c>
      <c r="J72" s="9">
        <v>35494.480000000003</v>
      </c>
      <c r="K72" s="8" t="s">
        <v>74</v>
      </c>
      <c r="L72" s="10">
        <v>0</v>
      </c>
      <c r="M72" s="8" t="s">
        <v>75</v>
      </c>
      <c r="N72" s="9">
        <v>0</v>
      </c>
      <c r="O72" s="8" t="s">
        <v>30</v>
      </c>
      <c r="P72" t="str">
        <f>TEXT(Table1[[#This Row],[Transaction_Date]],"mmm")</f>
        <v>Nov</v>
      </c>
      <c r="Q72" s="11">
        <v>45980</v>
      </c>
      <c r="R72" s="8" t="s">
        <v>274</v>
      </c>
      <c r="S72" s="8" t="s">
        <v>54</v>
      </c>
      <c r="T72" s="9">
        <v>12863.52</v>
      </c>
      <c r="U72" t="s">
        <v>77</v>
      </c>
      <c r="V72" s="8" t="s">
        <v>62</v>
      </c>
      <c r="W72"/>
      <c r="X72"/>
    </row>
    <row r="73" spans="1:24" hidden="1" x14ac:dyDescent="0.3">
      <c r="A73" t="s">
        <v>275</v>
      </c>
      <c r="B73" t="s">
        <v>276</v>
      </c>
      <c r="C73">
        <v>41</v>
      </c>
      <c r="D73" t="s">
        <v>37</v>
      </c>
      <c r="E73" t="s">
        <v>38</v>
      </c>
      <c r="F73" t="s">
        <v>37</v>
      </c>
      <c r="G73" t="s">
        <v>26</v>
      </c>
      <c r="H73" s="8" t="s">
        <v>51</v>
      </c>
      <c r="I73" s="9">
        <v>49819.95</v>
      </c>
      <c r="J73" s="9">
        <v>31810.94</v>
      </c>
      <c r="K73" s="8" t="s">
        <v>68</v>
      </c>
      <c r="L73" s="10">
        <v>64640.52</v>
      </c>
      <c r="M73" s="8" t="s">
        <v>29</v>
      </c>
      <c r="N73" s="9">
        <v>59572.15</v>
      </c>
      <c r="O73" s="8" t="s">
        <v>30</v>
      </c>
      <c r="P73" t="str">
        <f>TEXT(Table1[[#This Row],[Transaction_Date]],"mmm")</f>
        <v>Oct</v>
      </c>
      <c r="Q73" s="11">
        <v>45941</v>
      </c>
      <c r="R73" s="8" t="s">
        <v>277</v>
      </c>
      <c r="S73" s="8" t="s">
        <v>54</v>
      </c>
      <c r="T73" s="9">
        <v>4105.3599999999997</v>
      </c>
      <c r="U73" t="s">
        <v>45</v>
      </c>
      <c r="V73" s="8" t="s">
        <v>62</v>
      </c>
      <c r="W73"/>
      <c r="X73"/>
    </row>
    <row r="74" spans="1:24" hidden="1" x14ac:dyDescent="0.3">
      <c r="A74" t="s">
        <v>278</v>
      </c>
      <c r="B74" t="s">
        <v>279</v>
      </c>
      <c r="C74">
        <v>52</v>
      </c>
      <c r="D74" t="s">
        <v>84</v>
      </c>
      <c r="E74" t="s">
        <v>85</v>
      </c>
      <c r="F74" t="s">
        <v>84</v>
      </c>
      <c r="G74" t="s">
        <v>51</v>
      </c>
      <c r="H74" s="8" t="s">
        <v>51</v>
      </c>
      <c r="I74" s="9">
        <v>79391.48</v>
      </c>
      <c r="J74" s="9">
        <v>39047.1</v>
      </c>
      <c r="K74" s="8" t="s">
        <v>74</v>
      </c>
      <c r="L74" s="10">
        <v>0</v>
      </c>
      <c r="M74" s="8" t="s">
        <v>75</v>
      </c>
      <c r="N74" s="9">
        <v>0</v>
      </c>
      <c r="O74" s="8" t="s">
        <v>30</v>
      </c>
      <c r="P74" t="str">
        <f>TEXT(Table1[[#This Row],[Transaction_Date]],"mmm")</f>
        <v>Dec</v>
      </c>
      <c r="Q74" s="11">
        <v>46010</v>
      </c>
      <c r="R74" s="8" t="s">
        <v>280</v>
      </c>
      <c r="S74" s="8" t="s">
        <v>54</v>
      </c>
      <c r="T74" s="9">
        <v>2622.72</v>
      </c>
      <c r="U74" t="s">
        <v>61</v>
      </c>
      <c r="V74" s="8" t="s">
        <v>62</v>
      </c>
      <c r="W74"/>
      <c r="X74"/>
    </row>
    <row r="75" spans="1:24" hidden="1" x14ac:dyDescent="0.3">
      <c r="A75" t="s">
        <v>281</v>
      </c>
      <c r="B75" t="s">
        <v>282</v>
      </c>
      <c r="C75">
        <v>26</v>
      </c>
      <c r="D75" t="s">
        <v>49</v>
      </c>
      <c r="E75" t="s">
        <v>50</v>
      </c>
      <c r="F75" t="s">
        <v>49</v>
      </c>
      <c r="G75" t="s">
        <v>80</v>
      </c>
      <c r="H75" s="8" t="s">
        <v>40</v>
      </c>
      <c r="I75" s="9">
        <v>36661.699999999997</v>
      </c>
      <c r="J75" s="9">
        <v>18101.34</v>
      </c>
      <c r="K75" s="8" t="s">
        <v>68</v>
      </c>
      <c r="L75" s="10">
        <v>35697.81</v>
      </c>
      <c r="M75" s="8" t="s">
        <v>42</v>
      </c>
      <c r="N75" s="9">
        <v>0</v>
      </c>
      <c r="O75" s="8" t="s">
        <v>30</v>
      </c>
      <c r="P75" t="str">
        <f>TEXT(Table1[[#This Row],[Transaction_Date]],"mmm")</f>
        <v>Jul</v>
      </c>
      <c r="Q75" s="11">
        <v>45863</v>
      </c>
      <c r="R75" s="8" t="s">
        <v>283</v>
      </c>
      <c r="S75" s="8" t="s">
        <v>32</v>
      </c>
      <c r="T75" s="9">
        <v>3423.03</v>
      </c>
      <c r="U75" t="s">
        <v>33</v>
      </c>
      <c r="V75" s="8" t="s">
        <v>46</v>
      </c>
      <c r="W75"/>
      <c r="X75"/>
    </row>
    <row r="76" spans="1:24" x14ac:dyDescent="0.3">
      <c r="A76" t="s">
        <v>284</v>
      </c>
      <c r="B76" t="s">
        <v>285</v>
      </c>
      <c r="C76">
        <v>40</v>
      </c>
      <c r="D76" t="s">
        <v>49</v>
      </c>
      <c r="E76" t="s">
        <v>50</v>
      </c>
      <c r="F76" t="s">
        <v>49</v>
      </c>
      <c r="G76" t="s">
        <v>39</v>
      </c>
      <c r="H76" s="8" t="s">
        <v>51</v>
      </c>
      <c r="I76" s="9">
        <v>50133.66</v>
      </c>
      <c r="J76" s="9">
        <v>25264.34</v>
      </c>
      <c r="K76" s="8" t="s">
        <v>59</v>
      </c>
      <c r="L76" s="10">
        <v>69029.600000000006</v>
      </c>
      <c r="M76" s="8" t="s">
        <v>29</v>
      </c>
      <c r="N76" s="9">
        <v>14759.96</v>
      </c>
      <c r="O76" s="8" t="s">
        <v>30</v>
      </c>
      <c r="P76" t="str">
        <f>TEXT(Table1[[#This Row],[Transaction_Date]],"mmm")</f>
        <v>Nov</v>
      </c>
      <c r="Q76" s="11">
        <v>45976</v>
      </c>
      <c r="R76" s="8" t="s">
        <v>286</v>
      </c>
      <c r="S76" s="8" t="s">
        <v>44</v>
      </c>
      <c r="T76" s="9">
        <v>4683.58</v>
      </c>
      <c r="U76" t="s">
        <v>71</v>
      </c>
      <c r="V76" s="8" t="s">
        <v>62</v>
      </c>
      <c r="W76"/>
      <c r="X76"/>
    </row>
    <row r="77" spans="1:24" x14ac:dyDescent="0.3">
      <c r="A77" t="s">
        <v>287</v>
      </c>
      <c r="B77" t="s">
        <v>288</v>
      </c>
      <c r="C77">
        <v>29</v>
      </c>
      <c r="D77" t="s">
        <v>49</v>
      </c>
      <c r="E77" t="s">
        <v>50</v>
      </c>
      <c r="F77" t="s">
        <v>49</v>
      </c>
      <c r="G77" t="s">
        <v>39</v>
      </c>
      <c r="H77" s="8" t="s">
        <v>67</v>
      </c>
      <c r="I77" s="9">
        <v>43230.33</v>
      </c>
      <c r="J77" s="9">
        <v>5721.77</v>
      </c>
      <c r="K77" s="8" t="s">
        <v>59</v>
      </c>
      <c r="L77" s="10">
        <v>41768.639999999999</v>
      </c>
      <c r="M77" s="8" t="s">
        <v>42</v>
      </c>
      <c r="N77" s="9">
        <v>0</v>
      </c>
      <c r="O77" s="8" t="s">
        <v>30</v>
      </c>
      <c r="P77" t="str">
        <f>TEXT(Table1[[#This Row],[Transaction_Date]],"mmm")</f>
        <v>Jul</v>
      </c>
      <c r="Q77" s="11">
        <v>45849</v>
      </c>
      <c r="R77" s="8" t="s">
        <v>289</v>
      </c>
      <c r="S77" s="8" t="s">
        <v>70</v>
      </c>
      <c r="T77" s="9">
        <v>3387.35</v>
      </c>
      <c r="U77" t="s">
        <v>45</v>
      </c>
      <c r="V77" s="8" t="s">
        <v>62</v>
      </c>
      <c r="W77"/>
      <c r="X77"/>
    </row>
    <row r="78" spans="1:24" hidden="1" x14ac:dyDescent="0.3">
      <c r="A78" t="s">
        <v>290</v>
      </c>
      <c r="B78" t="s">
        <v>291</v>
      </c>
      <c r="C78">
        <v>18</v>
      </c>
      <c r="D78" t="s">
        <v>24</v>
      </c>
      <c r="E78" t="s">
        <v>25</v>
      </c>
      <c r="F78" t="s">
        <v>24</v>
      </c>
      <c r="G78" t="s">
        <v>80</v>
      </c>
      <c r="H78" s="8" t="s">
        <v>40</v>
      </c>
      <c r="I78" s="9">
        <v>71106.720000000001</v>
      </c>
      <c r="J78" s="9">
        <v>73594.350000000006</v>
      </c>
      <c r="K78" s="8" t="s">
        <v>28</v>
      </c>
      <c r="L78" s="10">
        <v>134598.53</v>
      </c>
      <c r="M78" s="8" t="s">
        <v>29</v>
      </c>
      <c r="N78" s="9">
        <v>54542.02</v>
      </c>
      <c r="O78" s="8" t="s">
        <v>228</v>
      </c>
      <c r="P78" t="str">
        <f>TEXT(Table1[[#This Row],[Transaction_Date]],"mmm")</f>
        <v>Apr</v>
      </c>
      <c r="Q78" s="11">
        <v>45756</v>
      </c>
      <c r="R78" s="8" t="s">
        <v>292</v>
      </c>
      <c r="S78" s="8" t="s">
        <v>44</v>
      </c>
      <c r="T78" s="9">
        <v>4165.76</v>
      </c>
      <c r="U78" t="s">
        <v>33</v>
      </c>
      <c r="V78" s="8" t="s">
        <v>34</v>
      </c>
      <c r="W78"/>
      <c r="X78"/>
    </row>
    <row r="79" spans="1:24" x14ac:dyDescent="0.3">
      <c r="A79" t="s">
        <v>293</v>
      </c>
      <c r="B79" t="s">
        <v>294</v>
      </c>
      <c r="C79">
        <v>31</v>
      </c>
      <c r="D79" t="s">
        <v>37</v>
      </c>
      <c r="E79" t="s">
        <v>38</v>
      </c>
      <c r="F79" t="s">
        <v>37</v>
      </c>
      <c r="G79" t="s">
        <v>39</v>
      </c>
      <c r="H79" s="8" t="s">
        <v>40</v>
      </c>
      <c r="I79" s="9">
        <v>29766.91</v>
      </c>
      <c r="J79" s="9">
        <v>20375.12</v>
      </c>
      <c r="K79" s="8" t="s">
        <v>74</v>
      </c>
      <c r="L79" s="10">
        <v>0</v>
      </c>
      <c r="M79" s="8" t="s">
        <v>75</v>
      </c>
      <c r="N79" s="9">
        <v>0</v>
      </c>
      <c r="O79" s="8" t="s">
        <v>30</v>
      </c>
      <c r="P79" t="str">
        <f>TEXT(Table1[[#This Row],[Transaction_Date]],"mmm")</f>
        <v>Jan</v>
      </c>
      <c r="Q79" s="11">
        <v>45678</v>
      </c>
      <c r="R79" s="8" t="s">
        <v>295</v>
      </c>
      <c r="S79" s="8" t="s">
        <v>32</v>
      </c>
      <c r="T79" s="9">
        <v>1479.76</v>
      </c>
      <c r="U79" t="s">
        <v>71</v>
      </c>
      <c r="V79" s="8" t="s">
        <v>34</v>
      </c>
      <c r="W79"/>
      <c r="X79"/>
    </row>
    <row r="80" spans="1:24" x14ac:dyDescent="0.3">
      <c r="A80" t="s">
        <v>296</v>
      </c>
      <c r="B80" t="s">
        <v>297</v>
      </c>
      <c r="C80">
        <v>56</v>
      </c>
      <c r="D80" t="s">
        <v>97</v>
      </c>
      <c r="E80" t="s">
        <v>98</v>
      </c>
      <c r="F80" t="s">
        <v>97</v>
      </c>
      <c r="G80" t="s">
        <v>39</v>
      </c>
      <c r="H80" s="8" t="s">
        <v>40</v>
      </c>
      <c r="I80" s="9">
        <v>92858.27</v>
      </c>
      <c r="J80" s="9">
        <v>36385.94</v>
      </c>
      <c r="K80" s="8" t="s">
        <v>74</v>
      </c>
      <c r="L80" s="10">
        <v>0</v>
      </c>
      <c r="M80" s="8" t="s">
        <v>75</v>
      </c>
      <c r="N80" s="9">
        <v>0</v>
      </c>
      <c r="O80" s="8" t="s">
        <v>30</v>
      </c>
      <c r="P80" t="str">
        <f>TEXT(Table1[[#This Row],[Transaction_Date]],"mmm")</f>
        <v>Jul</v>
      </c>
      <c r="Q80" s="11">
        <v>45865</v>
      </c>
      <c r="R80" s="8" t="s">
        <v>298</v>
      </c>
      <c r="S80" s="8" t="s">
        <v>70</v>
      </c>
      <c r="T80" s="9">
        <v>1960.75</v>
      </c>
      <c r="U80" t="s">
        <v>106</v>
      </c>
      <c r="V80" s="8" t="s">
        <v>62</v>
      </c>
      <c r="W80"/>
      <c r="X80"/>
    </row>
    <row r="81" spans="1:24" hidden="1" x14ac:dyDescent="0.3">
      <c r="A81" t="s">
        <v>299</v>
      </c>
      <c r="B81" t="s">
        <v>200</v>
      </c>
      <c r="C81">
        <v>32</v>
      </c>
      <c r="D81" t="s">
        <v>97</v>
      </c>
      <c r="E81" t="s">
        <v>98</v>
      </c>
      <c r="F81" t="s">
        <v>97</v>
      </c>
      <c r="G81" t="s">
        <v>26</v>
      </c>
      <c r="H81" s="8" t="s">
        <v>27</v>
      </c>
      <c r="I81" s="9">
        <v>25491.96</v>
      </c>
      <c r="J81" s="9">
        <v>21390.44</v>
      </c>
      <c r="K81" s="8" t="s">
        <v>68</v>
      </c>
      <c r="L81" s="10">
        <v>25000</v>
      </c>
      <c r="M81" s="8" t="s">
        <v>29</v>
      </c>
      <c r="N81" s="9">
        <v>9228.8799999999992</v>
      </c>
      <c r="O81" s="8" t="s">
        <v>30</v>
      </c>
      <c r="P81" t="str">
        <f>TEXT(Table1[[#This Row],[Transaction_Date]],"mmm")</f>
        <v>Aug</v>
      </c>
      <c r="Q81" s="11">
        <v>45871</v>
      </c>
      <c r="R81" s="8" t="s">
        <v>300</v>
      </c>
      <c r="S81" s="8" t="s">
        <v>70</v>
      </c>
      <c r="T81" s="9">
        <v>5465.25</v>
      </c>
      <c r="U81" t="s">
        <v>45</v>
      </c>
      <c r="V81" s="8" t="s">
        <v>46</v>
      </c>
      <c r="W81"/>
      <c r="X81"/>
    </row>
    <row r="82" spans="1:24" x14ac:dyDescent="0.3">
      <c r="A82" t="s">
        <v>301</v>
      </c>
      <c r="B82" t="s">
        <v>168</v>
      </c>
      <c r="C82">
        <v>36</v>
      </c>
      <c r="D82" t="s">
        <v>24</v>
      </c>
      <c r="E82" t="s">
        <v>25</v>
      </c>
      <c r="F82" t="s">
        <v>24</v>
      </c>
      <c r="G82" t="s">
        <v>39</v>
      </c>
      <c r="H82" s="8" t="s">
        <v>27</v>
      </c>
      <c r="I82" s="9">
        <v>77517.47</v>
      </c>
      <c r="J82" s="9">
        <v>9487.0499999999993</v>
      </c>
      <c r="K82" s="8" t="s">
        <v>41</v>
      </c>
      <c r="L82" s="10">
        <v>26364.62</v>
      </c>
      <c r="M82" s="8" t="s">
        <v>42</v>
      </c>
      <c r="N82" s="9">
        <v>0</v>
      </c>
      <c r="O82" s="8" t="s">
        <v>30</v>
      </c>
      <c r="P82" t="str">
        <f>TEXT(Table1[[#This Row],[Transaction_Date]],"mmm")</f>
        <v>Apr</v>
      </c>
      <c r="Q82" s="11">
        <v>45759</v>
      </c>
      <c r="R82" s="8" t="s">
        <v>302</v>
      </c>
      <c r="S82" s="8" t="s">
        <v>32</v>
      </c>
      <c r="T82" s="9">
        <v>5341.03</v>
      </c>
      <c r="U82" t="s">
        <v>71</v>
      </c>
      <c r="V82" s="8" t="s">
        <v>62</v>
      </c>
      <c r="W82"/>
      <c r="X82"/>
    </row>
    <row r="83" spans="1:24" x14ac:dyDescent="0.3">
      <c r="A83" t="s">
        <v>303</v>
      </c>
      <c r="B83" t="s">
        <v>304</v>
      </c>
      <c r="C83">
        <v>48</v>
      </c>
      <c r="D83" t="s">
        <v>57</v>
      </c>
      <c r="E83" t="s">
        <v>58</v>
      </c>
      <c r="F83" t="s">
        <v>57</v>
      </c>
      <c r="G83" t="s">
        <v>39</v>
      </c>
      <c r="H83" s="8" t="s">
        <v>51</v>
      </c>
      <c r="I83" s="9">
        <v>94195.75</v>
      </c>
      <c r="J83" s="9">
        <v>37045.83</v>
      </c>
      <c r="K83" s="8" t="s">
        <v>41</v>
      </c>
      <c r="L83" s="10">
        <v>31031.59</v>
      </c>
      <c r="M83" s="8" t="s">
        <v>29</v>
      </c>
      <c r="N83" s="9">
        <v>6979.08</v>
      </c>
      <c r="O83" s="8" t="s">
        <v>30</v>
      </c>
      <c r="P83" t="str">
        <f>TEXT(Table1[[#This Row],[Transaction_Date]],"mmm")</f>
        <v>Apr</v>
      </c>
      <c r="Q83" s="11">
        <v>45760</v>
      </c>
      <c r="R83" s="8" t="s">
        <v>305</v>
      </c>
      <c r="S83" s="8" t="s">
        <v>54</v>
      </c>
      <c r="T83" s="9">
        <v>4333.5</v>
      </c>
      <c r="U83" t="s">
        <v>106</v>
      </c>
      <c r="V83" s="8" t="s">
        <v>62</v>
      </c>
      <c r="W83"/>
      <c r="X83"/>
    </row>
    <row r="84" spans="1:24" x14ac:dyDescent="0.3">
      <c r="A84" t="s">
        <v>306</v>
      </c>
      <c r="B84" t="s">
        <v>173</v>
      </c>
      <c r="C84">
        <v>31</v>
      </c>
      <c r="D84" t="s">
        <v>37</v>
      </c>
      <c r="E84" t="s">
        <v>38</v>
      </c>
      <c r="F84" t="s">
        <v>37</v>
      </c>
      <c r="G84" t="s">
        <v>39</v>
      </c>
      <c r="H84" s="8" t="s">
        <v>40</v>
      </c>
      <c r="I84" s="9">
        <v>59632.5</v>
      </c>
      <c r="J84" s="9">
        <v>38486.629999999997</v>
      </c>
      <c r="K84" s="8" t="s">
        <v>59</v>
      </c>
      <c r="L84" s="10">
        <v>115869.77</v>
      </c>
      <c r="M84" s="8" t="s">
        <v>29</v>
      </c>
      <c r="N84" s="9">
        <v>76440.23</v>
      </c>
      <c r="O84" s="8" t="s">
        <v>30</v>
      </c>
      <c r="P84" t="str">
        <f>TEXT(Table1[[#This Row],[Transaction_Date]],"mmm")</f>
        <v>Jul</v>
      </c>
      <c r="Q84" s="11">
        <v>45861</v>
      </c>
      <c r="R84" s="8" t="s">
        <v>307</v>
      </c>
      <c r="S84" s="8" t="s">
        <v>32</v>
      </c>
      <c r="T84" s="9">
        <v>5107.7700000000004</v>
      </c>
      <c r="U84" t="s">
        <v>45</v>
      </c>
      <c r="V84" s="8" t="s">
        <v>62</v>
      </c>
      <c r="W84"/>
      <c r="X84"/>
    </row>
    <row r="85" spans="1:24" hidden="1" x14ac:dyDescent="0.3">
      <c r="A85" t="s">
        <v>308</v>
      </c>
      <c r="B85" t="s">
        <v>73</v>
      </c>
      <c r="C85">
        <v>45</v>
      </c>
      <c r="D85" t="s">
        <v>57</v>
      </c>
      <c r="E85" t="s">
        <v>58</v>
      </c>
      <c r="F85" t="s">
        <v>57</v>
      </c>
      <c r="G85" t="s">
        <v>26</v>
      </c>
      <c r="H85" s="8" t="s">
        <v>51</v>
      </c>
      <c r="I85" s="9">
        <v>103015.15</v>
      </c>
      <c r="J85" s="9">
        <v>33559.49</v>
      </c>
      <c r="K85" s="8" t="s">
        <v>28</v>
      </c>
      <c r="L85" s="10">
        <v>45381.45</v>
      </c>
      <c r="M85" s="8" t="s">
        <v>29</v>
      </c>
      <c r="N85" s="9">
        <v>17486.72</v>
      </c>
      <c r="O85" s="8" t="s">
        <v>30</v>
      </c>
      <c r="P85" t="str">
        <f>TEXT(Table1[[#This Row],[Transaction_Date]],"mmm")</f>
        <v>Oct</v>
      </c>
      <c r="Q85" s="11">
        <v>45958</v>
      </c>
      <c r="R85" s="8" t="s">
        <v>309</v>
      </c>
      <c r="S85" s="8" t="s">
        <v>70</v>
      </c>
      <c r="T85" s="9">
        <v>3657.55</v>
      </c>
      <c r="U85" t="s">
        <v>106</v>
      </c>
      <c r="V85" s="8" t="s">
        <v>62</v>
      </c>
      <c r="W85"/>
      <c r="X85"/>
    </row>
    <row r="86" spans="1:24" x14ac:dyDescent="0.3">
      <c r="A86" t="s">
        <v>310</v>
      </c>
      <c r="B86" t="s">
        <v>311</v>
      </c>
      <c r="C86">
        <v>44</v>
      </c>
      <c r="D86" t="s">
        <v>49</v>
      </c>
      <c r="E86" t="s">
        <v>50</v>
      </c>
      <c r="F86" t="s">
        <v>49</v>
      </c>
      <c r="G86" t="s">
        <v>39</v>
      </c>
      <c r="H86" s="8" t="s">
        <v>40</v>
      </c>
      <c r="I86" s="9">
        <v>34469.31</v>
      </c>
      <c r="J86" s="9">
        <v>32866.230000000003</v>
      </c>
      <c r="K86" s="8" t="s">
        <v>52</v>
      </c>
      <c r="L86" s="10">
        <v>105344.83</v>
      </c>
      <c r="M86" s="8" t="s">
        <v>42</v>
      </c>
      <c r="N86" s="9">
        <v>0</v>
      </c>
      <c r="O86" s="8" t="s">
        <v>30</v>
      </c>
      <c r="P86" t="str">
        <f>TEXT(Table1[[#This Row],[Transaction_Date]],"mmm")</f>
        <v>Dec</v>
      </c>
      <c r="Q86" s="11">
        <v>46018</v>
      </c>
      <c r="R86" s="8" t="s">
        <v>312</v>
      </c>
      <c r="S86" s="8" t="s">
        <v>44</v>
      </c>
      <c r="T86" s="9">
        <v>2250.79</v>
      </c>
      <c r="U86" t="s">
        <v>71</v>
      </c>
      <c r="V86" s="8" t="s">
        <v>62</v>
      </c>
      <c r="W86"/>
      <c r="X86"/>
    </row>
    <row r="87" spans="1:24" hidden="1" x14ac:dyDescent="0.3">
      <c r="A87" t="s">
        <v>313</v>
      </c>
      <c r="B87" t="s">
        <v>83</v>
      </c>
      <c r="C87">
        <v>28</v>
      </c>
      <c r="D87" t="s">
        <v>65</v>
      </c>
      <c r="E87" t="s">
        <v>66</v>
      </c>
      <c r="F87" t="s">
        <v>65</v>
      </c>
      <c r="G87" t="s">
        <v>80</v>
      </c>
      <c r="H87" s="8" t="s">
        <v>27</v>
      </c>
      <c r="I87" s="9">
        <v>71664.03</v>
      </c>
      <c r="J87" s="9">
        <v>73684.94</v>
      </c>
      <c r="K87" s="8" t="s">
        <v>74</v>
      </c>
      <c r="L87" s="10">
        <v>0</v>
      </c>
      <c r="M87" s="8" t="s">
        <v>75</v>
      </c>
      <c r="N87" s="9">
        <v>0</v>
      </c>
      <c r="O87" s="8" t="s">
        <v>30</v>
      </c>
      <c r="P87" t="str">
        <f>TEXT(Table1[[#This Row],[Transaction_Date]],"mmm")</f>
        <v>Jan</v>
      </c>
      <c r="Q87" s="11">
        <v>45677</v>
      </c>
      <c r="R87" s="8" t="s">
        <v>314</v>
      </c>
      <c r="S87" s="8" t="s">
        <v>70</v>
      </c>
      <c r="T87" s="9">
        <v>7725.59</v>
      </c>
      <c r="U87" t="s">
        <v>33</v>
      </c>
      <c r="V87" s="8" t="s">
        <v>46</v>
      </c>
      <c r="W87"/>
      <c r="X87"/>
    </row>
    <row r="88" spans="1:24" hidden="1" x14ac:dyDescent="0.3">
      <c r="A88" t="s">
        <v>315</v>
      </c>
      <c r="B88" t="s">
        <v>56</v>
      </c>
      <c r="C88">
        <v>73</v>
      </c>
      <c r="D88" t="s">
        <v>24</v>
      </c>
      <c r="E88" t="s">
        <v>25</v>
      </c>
      <c r="F88" t="s">
        <v>24</v>
      </c>
      <c r="G88" t="s">
        <v>26</v>
      </c>
      <c r="H88" s="8" t="s">
        <v>40</v>
      </c>
      <c r="I88" s="9">
        <v>42399.09</v>
      </c>
      <c r="J88" s="9">
        <v>6592.17</v>
      </c>
      <c r="K88" s="8" t="s">
        <v>74</v>
      </c>
      <c r="L88" s="10">
        <v>0</v>
      </c>
      <c r="M88" s="8" t="s">
        <v>75</v>
      </c>
      <c r="N88" s="9">
        <v>0</v>
      </c>
      <c r="O88" s="8" t="s">
        <v>30</v>
      </c>
      <c r="P88" t="str">
        <f>TEXT(Table1[[#This Row],[Transaction_Date]],"mmm")</f>
        <v>Jul</v>
      </c>
      <c r="Q88" s="11">
        <v>45843</v>
      </c>
      <c r="R88" s="8" t="s">
        <v>316</v>
      </c>
      <c r="S88" s="8" t="s">
        <v>32</v>
      </c>
      <c r="T88" s="9">
        <v>3555.26</v>
      </c>
      <c r="U88" t="s">
        <v>77</v>
      </c>
      <c r="V88" s="8" t="s">
        <v>62</v>
      </c>
      <c r="W88"/>
      <c r="X88"/>
    </row>
    <row r="89" spans="1:24" x14ac:dyDescent="0.3">
      <c r="A89" t="s">
        <v>317</v>
      </c>
      <c r="B89" t="s">
        <v>188</v>
      </c>
      <c r="C89">
        <v>22</v>
      </c>
      <c r="D89" t="s">
        <v>57</v>
      </c>
      <c r="E89" t="s">
        <v>58</v>
      </c>
      <c r="F89" t="s">
        <v>57</v>
      </c>
      <c r="G89" t="s">
        <v>39</v>
      </c>
      <c r="H89" s="8" t="s">
        <v>27</v>
      </c>
      <c r="I89" s="9">
        <v>48587.22</v>
      </c>
      <c r="J89" s="9">
        <v>31540.89</v>
      </c>
      <c r="K89" s="8" t="s">
        <v>68</v>
      </c>
      <c r="L89" s="10">
        <v>25000</v>
      </c>
      <c r="M89" s="8" t="s">
        <v>42</v>
      </c>
      <c r="N89" s="9">
        <v>0</v>
      </c>
      <c r="O89" s="8" t="s">
        <v>30</v>
      </c>
      <c r="P89" t="str">
        <f>TEXT(Table1[[#This Row],[Transaction_Date]],"mmm")</f>
        <v>Apr</v>
      </c>
      <c r="Q89" s="11">
        <v>45768</v>
      </c>
      <c r="R89" s="8" t="s">
        <v>318</v>
      </c>
      <c r="S89" s="8" t="s">
        <v>70</v>
      </c>
      <c r="T89" s="9">
        <v>2834.38</v>
      </c>
      <c r="U89" t="s">
        <v>71</v>
      </c>
      <c r="V89" s="8" t="s">
        <v>62</v>
      </c>
      <c r="W89"/>
      <c r="X89"/>
    </row>
    <row r="90" spans="1:24" x14ac:dyDescent="0.3">
      <c r="A90" t="s">
        <v>319</v>
      </c>
      <c r="B90" t="s">
        <v>173</v>
      </c>
      <c r="C90">
        <v>41</v>
      </c>
      <c r="D90" t="s">
        <v>37</v>
      </c>
      <c r="E90" t="s">
        <v>38</v>
      </c>
      <c r="F90" t="s">
        <v>37</v>
      </c>
      <c r="G90" t="s">
        <v>39</v>
      </c>
      <c r="H90" s="8" t="s">
        <v>40</v>
      </c>
      <c r="I90" s="9">
        <v>79369.850000000006</v>
      </c>
      <c r="J90" s="9">
        <v>13754.3</v>
      </c>
      <c r="K90" s="8" t="s">
        <v>74</v>
      </c>
      <c r="L90" s="10">
        <v>0</v>
      </c>
      <c r="M90" s="8" t="s">
        <v>75</v>
      </c>
      <c r="N90" s="9">
        <v>0</v>
      </c>
      <c r="O90" s="8" t="s">
        <v>30</v>
      </c>
      <c r="P90" t="str">
        <f>TEXT(Table1[[#This Row],[Transaction_Date]],"mmm")</f>
        <v>Jun</v>
      </c>
      <c r="Q90" s="11">
        <v>45821</v>
      </c>
      <c r="R90" s="8" t="s">
        <v>320</v>
      </c>
      <c r="S90" s="8" t="s">
        <v>32</v>
      </c>
      <c r="T90" s="9">
        <v>1027.8699999999999</v>
      </c>
      <c r="U90" t="s">
        <v>33</v>
      </c>
      <c r="V90" s="8" t="s">
        <v>62</v>
      </c>
      <c r="W90"/>
      <c r="X90"/>
    </row>
    <row r="91" spans="1:24" hidden="1" x14ac:dyDescent="0.3">
      <c r="A91" t="s">
        <v>321</v>
      </c>
      <c r="B91" t="s">
        <v>322</v>
      </c>
      <c r="C91">
        <v>18</v>
      </c>
      <c r="D91" t="s">
        <v>84</v>
      </c>
      <c r="E91" t="s">
        <v>85</v>
      </c>
      <c r="F91" t="s">
        <v>84</v>
      </c>
      <c r="G91" t="s">
        <v>80</v>
      </c>
      <c r="H91" s="8" t="s">
        <v>40</v>
      </c>
      <c r="I91" s="9">
        <v>69276.33</v>
      </c>
      <c r="J91" s="9">
        <v>14382.71</v>
      </c>
      <c r="K91" s="8" t="s">
        <v>28</v>
      </c>
      <c r="L91" s="10">
        <v>25000</v>
      </c>
      <c r="M91" s="8" t="s">
        <v>29</v>
      </c>
      <c r="N91" s="9">
        <v>8132.04</v>
      </c>
      <c r="O91" s="8" t="s">
        <v>30</v>
      </c>
      <c r="P91" t="str">
        <f>TEXT(Table1[[#This Row],[Transaction_Date]],"mmm")</f>
        <v>May</v>
      </c>
      <c r="Q91" s="11">
        <v>45778</v>
      </c>
      <c r="R91" s="8" t="s">
        <v>323</v>
      </c>
      <c r="S91" s="8" t="s">
        <v>70</v>
      </c>
      <c r="T91" s="9">
        <v>4933.5600000000004</v>
      </c>
      <c r="U91" t="s">
        <v>71</v>
      </c>
      <c r="V91" s="8" t="s">
        <v>62</v>
      </c>
      <c r="W91"/>
      <c r="X91"/>
    </row>
    <row r="92" spans="1:24" hidden="1" x14ac:dyDescent="0.3">
      <c r="A92" t="s">
        <v>324</v>
      </c>
      <c r="B92" t="s">
        <v>325</v>
      </c>
      <c r="C92">
        <v>18</v>
      </c>
      <c r="D92" t="s">
        <v>37</v>
      </c>
      <c r="E92" t="s">
        <v>38</v>
      </c>
      <c r="F92" t="s">
        <v>37</v>
      </c>
      <c r="G92" t="s">
        <v>26</v>
      </c>
      <c r="H92" s="8" t="s">
        <v>27</v>
      </c>
      <c r="I92" s="9">
        <v>54181.11</v>
      </c>
      <c r="J92" s="9">
        <v>22987.8</v>
      </c>
      <c r="K92" s="8" t="s">
        <v>59</v>
      </c>
      <c r="L92" s="10">
        <v>103334.04</v>
      </c>
      <c r="M92" s="8" t="s">
        <v>29</v>
      </c>
      <c r="N92" s="9">
        <v>30130.39</v>
      </c>
      <c r="O92" s="8" t="s">
        <v>30</v>
      </c>
      <c r="P92" t="str">
        <f>TEXT(Table1[[#This Row],[Transaction_Date]],"mmm")</f>
        <v>Sep</v>
      </c>
      <c r="Q92" s="11">
        <v>45902</v>
      </c>
      <c r="R92" s="8" t="s">
        <v>326</v>
      </c>
      <c r="S92" s="8" t="s">
        <v>54</v>
      </c>
      <c r="T92" s="9">
        <v>4395.8599999999997</v>
      </c>
      <c r="U92" t="s">
        <v>45</v>
      </c>
      <c r="V92" s="8" t="s">
        <v>34</v>
      </c>
      <c r="W92"/>
      <c r="X92"/>
    </row>
    <row r="93" spans="1:24" hidden="1" x14ac:dyDescent="0.3">
      <c r="A93" t="s">
        <v>327</v>
      </c>
      <c r="B93" t="s">
        <v>328</v>
      </c>
      <c r="C93">
        <v>27</v>
      </c>
      <c r="D93" t="s">
        <v>57</v>
      </c>
      <c r="E93" t="s">
        <v>58</v>
      </c>
      <c r="F93" t="s">
        <v>57</v>
      </c>
      <c r="G93" t="s">
        <v>80</v>
      </c>
      <c r="H93" s="8" t="s">
        <v>40</v>
      </c>
      <c r="I93" s="9">
        <v>75159.210000000006</v>
      </c>
      <c r="J93" s="9">
        <v>88677.97</v>
      </c>
      <c r="K93" s="8" t="s">
        <v>74</v>
      </c>
      <c r="L93" s="10">
        <v>0</v>
      </c>
      <c r="M93" s="8" t="s">
        <v>75</v>
      </c>
      <c r="N93" s="9">
        <v>0</v>
      </c>
      <c r="O93" s="8" t="s">
        <v>30</v>
      </c>
      <c r="P93" t="str">
        <f>TEXT(Table1[[#This Row],[Transaction_Date]],"mmm")</f>
        <v>Aug</v>
      </c>
      <c r="Q93" s="11">
        <v>45880</v>
      </c>
      <c r="R93" s="8" t="s">
        <v>329</v>
      </c>
      <c r="S93" s="8" t="s">
        <v>54</v>
      </c>
      <c r="T93" s="9">
        <v>5901.49</v>
      </c>
      <c r="U93" t="s">
        <v>71</v>
      </c>
      <c r="V93" s="8" t="s">
        <v>34</v>
      </c>
      <c r="W93"/>
      <c r="X93"/>
    </row>
    <row r="94" spans="1:24" hidden="1" x14ac:dyDescent="0.3">
      <c r="A94" t="s">
        <v>330</v>
      </c>
      <c r="B94" t="s">
        <v>331</v>
      </c>
      <c r="C94">
        <v>51</v>
      </c>
      <c r="D94" t="s">
        <v>92</v>
      </c>
      <c r="E94" t="s">
        <v>93</v>
      </c>
      <c r="F94" t="s">
        <v>92</v>
      </c>
      <c r="G94" t="s">
        <v>80</v>
      </c>
      <c r="H94" s="8" t="s">
        <v>40</v>
      </c>
      <c r="I94" s="9">
        <v>39142.61</v>
      </c>
      <c r="J94" s="9">
        <v>10594.34</v>
      </c>
      <c r="K94" s="8" t="s">
        <v>68</v>
      </c>
      <c r="L94" s="10">
        <v>86070.26</v>
      </c>
      <c r="M94" s="8" t="s">
        <v>29</v>
      </c>
      <c r="N94" s="9">
        <v>79400.69</v>
      </c>
      <c r="O94" s="8" t="s">
        <v>30</v>
      </c>
      <c r="P94" t="str">
        <f>TEXT(Table1[[#This Row],[Transaction_Date]],"mmm")</f>
        <v>Jul</v>
      </c>
      <c r="Q94" s="11">
        <v>45850</v>
      </c>
      <c r="R94" s="8" t="s">
        <v>332</v>
      </c>
      <c r="S94" s="8" t="s">
        <v>32</v>
      </c>
      <c r="T94" s="9">
        <v>2425.38</v>
      </c>
      <c r="U94" t="s">
        <v>77</v>
      </c>
      <c r="V94" s="8" t="s">
        <v>62</v>
      </c>
      <c r="W94"/>
      <c r="X94"/>
    </row>
    <row r="95" spans="1:24" hidden="1" x14ac:dyDescent="0.3">
      <c r="A95" t="s">
        <v>333</v>
      </c>
      <c r="B95" t="s">
        <v>168</v>
      </c>
      <c r="C95">
        <v>42</v>
      </c>
      <c r="D95" t="s">
        <v>49</v>
      </c>
      <c r="E95" t="s">
        <v>50</v>
      </c>
      <c r="F95" t="s">
        <v>49</v>
      </c>
      <c r="G95" t="s">
        <v>26</v>
      </c>
      <c r="H95" s="8" t="s">
        <v>27</v>
      </c>
      <c r="I95" s="9">
        <v>58102.81</v>
      </c>
      <c r="J95" s="9">
        <v>39911.629999999997</v>
      </c>
      <c r="K95" s="8" t="s">
        <v>59</v>
      </c>
      <c r="L95" s="10">
        <v>87505.32</v>
      </c>
      <c r="M95" s="8" t="s">
        <v>29</v>
      </c>
      <c r="N95" s="9">
        <v>40377.599999999999</v>
      </c>
      <c r="O95" s="8" t="s">
        <v>30</v>
      </c>
      <c r="P95" t="str">
        <f>TEXT(Table1[[#This Row],[Transaction_Date]],"mmm")</f>
        <v>Jul</v>
      </c>
      <c r="Q95" s="11">
        <v>45849</v>
      </c>
      <c r="R95" s="8" t="s">
        <v>334</v>
      </c>
      <c r="S95" s="8" t="s">
        <v>54</v>
      </c>
      <c r="T95" s="9">
        <v>11235.41</v>
      </c>
      <c r="U95" t="s">
        <v>77</v>
      </c>
      <c r="V95" s="8" t="s">
        <v>62</v>
      </c>
      <c r="W95"/>
      <c r="X95"/>
    </row>
    <row r="96" spans="1:24" hidden="1" x14ac:dyDescent="0.3">
      <c r="A96" t="s">
        <v>335</v>
      </c>
      <c r="B96" t="s">
        <v>182</v>
      </c>
      <c r="C96">
        <v>41</v>
      </c>
      <c r="D96" t="s">
        <v>49</v>
      </c>
      <c r="E96" t="s">
        <v>50</v>
      </c>
      <c r="F96" t="s">
        <v>49</v>
      </c>
      <c r="G96" t="s">
        <v>80</v>
      </c>
      <c r="H96" s="8" t="s">
        <v>51</v>
      </c>
      <c r="I96" s="9">
        <v>74832.44</v>
      </c>
      <c r="J96" s="9">
        <v>34116.51</v>
      </c>
      <c r="K96" s="8" t="s">
        <v>74</v>
      </c>
      <c r="L96" s="10">
        <v>0</v>
      </c>
      <c r="M96" s="8" t="s">
        <v>75</v>
      </c>
      <c r="N96" s="9">
        <v>0</v>
      </c>
      <c r="O96" s="8" t="s">
        <v>30</v>
      </c>
      <c r="P96" t="str">
        <f>TEXT(Table1[[#This Row],[Transaction_Date]],"mmm")</f>
        <v>Oct</v>
      </c>
      <c r="Q96" s="11">
        <v>45936</v>
      </c>
      <c r="R96" s="8" t="s">
        <v>336</v>
      </c>
      <c r="S96" s="8" t="s">
        <v>44</v>
      </c>
      <c r="T96" s="9">
        <v>2335.02</v>
      </c>
      <c r="U96" t="s">
        <v>106</v>
      </c>
      <c r="V96" s="8" t="s">
        <v>34</v>
      </c>
      <c r="W96"/>
      <c r="X96"/>
    </row>
    <row r="97" spans="1:24" hidden="1" x14ac:dyDescent="0.3">
      <c r="A97" t="s">
        <v>337</v>
      </c>
      <c r="B97" t="s">
        <v>338</v>
      </c>
      <c r="C97">
        <v>21</v>
      </c>
      <c r="D97" t="s">
        <v>24</v>
      </c>
      <c r="E97" t="s">
        <v>25</v>
      </c>
      <c r="F97" t="s">
        <v>24</v>
      </c>
      <c r="G97" t="s">
        <v>26</v>
      </c>
      <c r="H97" s="8" t="s">
        <v>51</v>
      </c>
      <c r="I97" s="9">
        <v>33189.370000000003</v>
      </c>
      <c r="J97" s="9">
        <v>61793.15</v>
      </c>
      <c r="K97" s="8" t="s">
        <v>74</v>
      </c>
      <c r="L97" s="10">
        <v>0</v>
      </c>
      <c r="M97" s="8" t="s">
        <v>75</v>
      </c>
      <c r="N97" s="9">
        <v>0</v>
      </c>
      <c r="O97" s="8" t="s">
        <v>30</v>
      </c>
      <c r="P97" t="str">
        <f>TEXT(Table1[[#This Row],[Transaction_Date]],"mmm")</f>
        <v>Nov</v>
      </c>
      <c r="Q97" s="11">
        <v>45962</v>
      </c>
      <c r="R97" s="8" t="s">
        <v>339</v>
      </c>
      <c r="S97" s="8" t="s">
        <v>70</v>
      </c>
      <c r="T97" s="9">
        <v>346.06</v>
      </c>
      <c r="U97" t="s">
        <v>106</v>
      </c>
      <c r="V97" s="8" t="s">
        <v>62</v>
      </c>
      <c r="W97"/>
      <c r="X97"/>
    </row>
    <row r="98" spans="1:24" hidden="1" x14ac:dyDescent="0.3">
      <c r="A98" t="s">
        <v>340</v>
      </c>
      <c r="B98" t="s">
        <v>341</v>
      </c>
      <c r="C98">
        <v>23</v>
      </c>
      <c r="D98" t="s">
        <v>84</v>
      </c>
      <c r="E98" t="s">
        <v>85</v>
      </c>
      <c r="F98" t="s">
        <v>84</v>
      </c>
      <c r="G98" t="s">
        <v>80</v>
      </c>
      <c r="H98" s="8" t="s">
        <v>51</v>
      </c>
      <c r="I98" s="9">
        <v>56301.13</v>
      </c>
      <c r="J98" s="9">
        <v>31246.53</v>
      </c>
      <c r="K98" s="8" t="s">
        <v>28</v>
      </c>
      <c r="L98" s="10">
        <v>139328.23000000001</v>
      </c>
      <c r="M98" s="8" t="s">
        <v>29</v>
      </c>
      <c r="N98" s="9">
        <v>30545.14</v>
      </c>
      <c r="O98" s="8" t="s">
        <v>30</v>
      </c>
      <c r="P98" t="str">
        <f>TEXT(Table1[[#This Row],[Transaction_Date]],"mmm")</f>
        <v>Jan</v>
      </c>
      <c r="Q98" s="11">
        <v>45669</v>
      </c>
      <c r="R98" s="8" t="s">
        <v>342</v>
      </c>
      <c r="S98" s="8" t="s">
        <v>54</v>
      </c>
      <c r="T98" s="9">
        <v>817.12</v>
      </c>
      <c r="U98" t="s">
        <v>106</v>
      </c>
      <c r="V98" s="8" t="s">
        <v>34</v>
      </c>
      <c r="W98"/>
      <c r="X98"/>
    </row>
    <row r="99" spans="1:24" hidden="1" x14ac:dyDescent="0.3">
      <c r="A99" t="s">
        <v>343</v>
      </c>
      <c r="B99" t="s">
        <v>212</v>
      </c>
      <c r="C99">
        <v>40</v>
      </c>
      <c r="D99" t="s">
        <v>65</v>
      </c>
      <c r="E99" t="s">
        <v>66</v>
      </c>
      <c r="F99" t="s">
        <v>65</v>
      </c>
      <c r="G99" t="s">
        <v>51</v>
      </c>
      <c r="H99" s="8" t="s">
        <v>27</v>
      </c>
      <c r="I99" s="9">
        <v>51485.57</v>
      </c>
      <c r="J99" s="9">
        <v>50680.82</v>
      </c>
      <c r="K99" s="8" t="s">
        <v>74</v>
      </c>
      <c r="L99" s="10">
        <v>0</v>
      </c>
      <c r="M99" s="8" t="s">
        <v>75</v>
      </c>
      <c r="N99" s="9">
        <v>0</v>
      </c>
      <c r="O99" s="8" t="s">
        <v>30</v>
      </c>
      <c r="P99" t="str">
        <f>TEXT(Table1[[#This Row],[Transaction_Date]],"mmm")</f>
        <v>Apr</v>
      </c>
      <c r="Q99" s="11">
        <v>45774</v>
      </c>
      <c r="R99" s="8" t="s">
        <v>344</v>
      </c>
      <c r="S99" s="8" t="s">
        <v>32</v>
      </c>
      <c r="T99" s="9">
        <v>2315.84</v>
      </c>
      <c r="U99" t="s">
        <v>61</v>
      </c>
      <c r="V99" s="8" t="s">
        <v>46</v>
      </c>
      <c r="W99"/>
      <c r="X99"/>
    </row>
    <row r="100" spans="1:24" x14ac:dyDescent="0.3">
      <c r="A100" t="s">
        <v>345</v>
      </c>
      <c r="B100" t="s">
        <v>346</v>
      </c>
      <c r="C100">
        <v>37</v>
      </c>
      <c r="D100" t="s">
        <v>65</v>
      </c>
      <c r="E100" t="s">
        <v>66</v>
      </c>
      <c r="F100" t="s">
        <v>65</v>
      </c>
      <c r="G100" t="s">
        <v>39</v>
      </c>
      <c r="H100" s="8" t="s">
        <v>40</v>
      </c>
      <c r="I100" s="9">
        <v>61118.33</v>
      </c>
      <c r="J100" s="9">
        <v>125409.94</v>
      </c>
      <c r="K100" s="8" t="s">
        <v>41</v>
      </c>
      <c r="L100" s="10">
        <v>62526.559999999998</v>
      </c>
      <c r="M100" s="8" t="s">
        <v>29</v>
      </c>
      <c r="N100" s="9">
        <v>16708.330000000002</v>
      </c>
      <c r="O100" s="8" t="s">
        <v>30</v>
      </c>
      <c r="P100" t="str">
        <f>TEXT(Table1[[#This Row],[Transaction_Date]],"mmm")</f>
        <v>Jan</v>
      </c>
      <c r="Q100" s="11">
        <v>45659</v>
      </c>
      <c r="R100" s="8" t="s">
        <v>347</v>
      </c>
      <c r="S100" s="8" t="s">
        <v>54</v>
      </c>
      <c r="T100" s="9">
        <v>9010.36</v>
      </c>
      <c r="U100" t="s">
        <v>77</v>
      </c>
      <c r="V100" s="8" t="s">
        <v>34</v>
      </c>
      <c r="W100"/>
      <c r="X100"/>
    </row>
    <row r="101" spans="1:24" hidden="1" x14ac:dyDescent="0.3">
      <c r="A101" t="s">
        <v>348</v>
      </c>
      <c r="B101" t="s">
        <v>185</v>
      </c>
      <c r="C101">
        <v>44</v>
      </c>
      <c r="D101" t="s">
        <v>24</v>
      </c>
      <c r="E101" t="s">
        <v>25</v>
      </c>
      <c r="F101" t="s">
        <v>24</v>
      </c>
      <c r="G101" t="s">
        <v>26</v>
      </c>
      <c r="H101" s="8" t="s">
        <v>40</v>
      </c>
      <c r="I101" s="9">
        <v>42530.51</v>
      </c>
      <c r="J101" s="9">
        <v>11218.56</v>
      </c>
      <c r="K101" s="8" t="s">
        <v>68</v>
      </c>
      <c r="L101" s="10">
        <v>88986.87</v>
      </c>
      <c r="M101" s="8" t="s">
        <v>42</v>
      </c>
      <c r="N101" s="9">
        <v>0</v>
      </c>
      <c r="O101" s="8" t="s">
        <v>30</v>
      </c>
      <c r="P101" t="str">
        <f>TEXT(Table1[[#This Row],[Transaction_Date]],"mmm")</f>
        <v>Mar</v>
      </c>
      <c r="Q101" s="11">
        <v>45741</v>
      </c>
      <c r="R101" s="8" t="s">
        <v>349</v>
      </c>
      <c r="S101" s="8" t="s">
        <v>44</v>
      </c>
      <c r="T101" s="9">
        <v>3356.16</v>
      </c>
      <c r="U101" t="s">
        <v>45</v>
      </c>
      <c r="V101" s="8" t="s">
        <v>46</v>
      </c>
      <c r="W101"/>
      <c r="X101"/>
    </row>
    <row r="102" spans="1:24" hidden="1" x14ac:dyDescent="0.3">
      <c r="A102" t="s">
        <v>350</v>
      </c>
      <c r="B102" t="s">
        <v>91</v>
      </c>
      <c r="C102">
        <v>54</v>
      </c>
      <c r="D102" t="s">
        <v>57</v>
      </c>
      <c r="E102" t="s">
        <v>58</v>
      </c>
      <c r="F102" t="s">
        <v>57</v>
      </c>
      <c r="G102" t="s">
        <v>80</v>
      </c>
      <c r="H102" s="8" t="s">
        <v>51</v>
      </c>
      <c r="I102" s="9">
        <v>80535.009999999995</v>
      </c>
      <c r="J102" s="9">
        <v>38693.699999999997</v>
      </c>
      <c r="K102" s="8" t="s">
        <v>41</v>
      </c>
      <c r="L102" s="10">
        <v>42310.400000000001</v>
      </c>
      <c r="M102" s="8" t="s">
        <v>42</v>
      </c>
      <c r="N102" s="9">
        <v>0</v>
      </c>
      <c r="O102" s="8" t="s">
        <v>30</v>
      </c>
      <c r="P102" t="str">
        <f>TEXT(Table1[[#This Row],[Transaction_Date]],"mmm")</f>
        <v>Jun</v>
      </c>
      <c r="Q102" s="11">
        <v>45809</v>
      </c>
      <c r="R102" s="8" t="s">
        <v>351</v>
      </c>
      <c r="S102" s="8" t="s">
        <v>44</v>
      </c>
      <c r="T102" s="9">
        <v>909.79</v>
      </c>
      <c r="U102" t="s">
        <v>33</v>
      </c>
      <c r="V102" s="8" t="s">
        <v>62</v>
      </c>
      <c r="W102"/>
      <c r="X102"/>
    </row>
    <row r="103" spans="1:24" hidden="1" x14ac:dyDescent="0.3">
      <c r="A103" t="s">
        <v>352</v>
      </c>
      <c r="B103" t="s">
        <v>353</v>
      </c>
      <c r="C103">
        <v>43</v>
      </c>
      <c r="D103" t="s">
        <v>92</v>
      </c>
      <c r="E103" t="s">
        <v>93</v>
      </c>
      <c r="F103" t="s">
        <v>92</v>
      </c>
      <c r="G103" t="s">
        <v>80</v>
      </c>
      <c r="H103" s="8" t="s">
        <v>27</v>
      </c>
      <c r="I103" s="9">
        <v>52390.6</v>
      </c>
      <c r="J103" s="9">
        <v>49702.52</v>
      </c>
      <c r="K103" s="8" t="s">
        <v>28</v>
      </c>
      <c r="L103" s="10">
        <v>75536.070000000007</v>
      </c>
      <c r="M103" s="8" t="s">
        <v>29</v>
      </c>
      <c r="N103" s="9">
        <v>63986.44</v>
      </c>
      <c r="O103" s="8" t="s">
        <v>30</v>
      </c>
      <c r="P103" t="str">
        <f>TEXT(Table1[[#This Row],[Transaction_Date]],"mmm")</f>
        <v>May</v>
      </c>
      <c r="Q103" s="11">
        <v>45807</v>
      </c>
      <c r="R103" s="8" t="s">
        <v>354</v>
      </c>
      <c r="S103" s="8" t="s">
        <v>54</v>
      </c>
      <c r="T103" s="9">
        <v>14200.84</v>
      </c>
      <c r="U103" t="s">
        <v>77</v>
      </c>
      <c r="V103" s="8" t="s">
        <v>34</v>
      </c>
      <c r="W103"/>
      <c r="X103"/>
    </row>
    <row r="104" spans="1:24" x14ac:dyDescent="0.3">
      <c r="A104" t="s">
        <v>355</v>
      </c>
      <c r="B104" t="s">
        <v>356</v>
      </c>
      <c r="C104">
        <v>57</v>
      </c>
      <c r="D104" t="s">
        <v>84</v>
      </c>
      <c r="E104" t="s">
        <v>85</v>
      </c>
      <c r="F104" t="s">
        <v>84</v>
      </c>
      <c r="G104" t="s">
        <v>39</v>
      </c>
      <c r="H104" s="8" t="s">
        <v>51</v>
      </c>
      <c r="I104" s="9">
        <v>38009.31</v>
      </c>
      <c r="J104" s="9">
        <v>33915.699999999997</v>
      </c>
      <c r="K104" s="8" t="s">
        <v>74</v>
      </c>
      <c r="L104" s="10">
        <v>0</v>
      </c>
      <c r="M104" s="8" t="s">
        <v>75</v>
      </c>
      <c r="N104" s="9">
        <v>0</v>
      </c>
      <c r="O104" s="8" t="s">
        <v>30</v>
      </c>
      <c r="P104" t="str">
        <f>TEXT(Table1[[#This Row],[Transaction_Date]],"mmm")</f>
        <v>Nov</v>
      </c>
      <c r="Q104" s="11">
        <v>45980</v>
      </c>
      <c r="R104" s="8" t="s">
        <v>357</v>
      </c>
      <c r="S104" s="8" t="s">
        <v>44</v>
      </c>
      <c r="T104" s="9">
        <v>14811.89</v>
      </c>
      <c r="U104" t="s">
        <v>71</v>
      </c>
      <c r="V104" s="8" t="s">
        <v>34</v>
      </c>
      <c r="W104"/>
      <c r="X104"/>
    </row>
    <row r="105" spans="1:24" hidden="1" x14ac:dyDescent="0.3">
      <c r="A105" t="s">
        <v>358</v>
      </c>
      <c r="B105" t="s">
        <v>359</v>
      </c>
      <c r="C105">
        <v>33</v>
      </c>
      <c r="D105" t="s">
        <v>92</v>
      </c>
      <c r="E105" t="s">
        <v>93</v>
      </c>
      <c r="F105" t="s">
        <v>92</v>
      </c>
      <c r="G105" t="s">
        <v>80</v>
      </c>
      <c r="H105" s="8" t="s">
        <v>40</v>
      </c>
      <c r="I105" s="9">
        <v>74098.27</v>
      </c>
      <c r="J105" s="9">
        <v>13374.32</v>
      </c>
      <c r="K105" s="8" t="s">
        <v>74</v>
      </c>
      <c r="L105" s="10">
        <v>0</v>
      </c>
      <c r="M105" s="8" t="s">
        <v>75</v>
      </c>
      <c r="N105" s="9">
        <v>0</v>
      </c>
      <c r="O105" s="8" t="s">
        <v>30</v>
      </c>
      <c r="P105" t="str">
        <f>TEXT(Table1[[#This Row],[Transaction_Date]],"mmm")</f>
        <v>Aug</v>
      </c>
      <c r="Q105" s="11">
        <v>45886</v>
      </c>
      <c r="R105" s="8" t="s">
        <v>360</v>
      </c>
      <c r="S105" s="8" t="s">
        <v>32</v>
      </c>
      <c r="T105" s="9">
        <v>1166.3599999999999</v>
      </c>
      <c r="U105" t="s">
        <v>71</v>
      </c>
      <c r="V105" s="8" t="s">
        <v>46</v>
      </c>
      <c r="W105"/>
      <c r="X105"/>
    </row>
    <row r="106" spans="1:24" x14ac:dyDescent="0.3">
      <c r="A106" t="s">
        <v>361</v>
      </c>
      <c r="B106" t="s">
        <v>362</v>
      </c>
      <c r="C106">
        <v>25</v>
      </c>
      <c r="D106" t="s">
        <v>65</v>
      </c>
      <c r="E106" t="s">
        <v>66</v>
      </c>
      <c r="F106" t="s">
        <v>65</v>
      </c>
      <c r="G106" t="s">
        <v>39</v>
      </c>
      <c r="H106" s="8" t="s">
        <v>40</v>
      </c>
      <c r="I106" s="9">
        <v>73128.33</v>
      </c>
      <c r="J106" s="9">
        <v>8297.4599999999991</v>
      </c>
      <c r="K106" s="8" t="s">
        <v>59</v>
      </c>
      <c r="L106" s="10">
        <v>212612.76</v>
      </c>
      <c r="M106" s="8" t="s">
        <v>29</v>
      </c>
      <c r="N106" s="9">
        <v>115373.04</v>
      </c>
      <c r="O106" s="8" t="s">
        <v>30</v>
      </c>
      <c r="P106" t="str">
        <f>TEXT(Table1[[#This Row],[Transaction_Date]],"mmm")</f>
        <v>May</v>
      </c>
      <c r="Q106" s="11">
        <v>45787</v>
      </c>
      <c r="R106" s="8" t="s">
        <v>363</v>
      </c>
      <c r="S106" s="8" t="s">
        <v>32</v>
      </c>
      <c r="T106" s="9">
        <v>4983.57</v>
      </c>
      <c r="U106" t="s">
        <v>77</v>
      </c>
      <c r="V106" s="8" t="s">
        <v>62</v>
      </c>
      <c r="W106"/>
      <c r="X106"/>
    </row>
    <row r="107" spans="1:24" hidden="1" x14ac:dyDescent="0.3">
      <c r="A107" t="s">
        <v>364</v>
      </c>
      <c r="B107" t="s">
        <v>365</v>
      </c>
      <c r="C107">
        <v>34</v>
      </c>
      <c r="D107" t="s">
        <v>49</v>
      </c>
      <c r="E107" t="s">
        <v>50</v>
      </c>
      <c r="F107" t="s">
        <v>49</v>
      </c>
      <c r="G107" t="s">
        <v>26</v>
      </c>
      <c r="H107" s="8" t="s">
        <v>40</v>
      </c>
      <c r="I107" s="9">
        <v>83846.63</v>
      </c>
      <c r="J107" s="9">
        <v>96903.13</v>
      </c>
      <c r="K107" s="8" t="s">
        <v>74</v>
      </c>
      <c r="L107" s="10">
        <v>0</v>
      </c>
      <c r="M107" s="8" t="s">
        <v>75</v>
      </c>
      <c r="N107" s="9">
        <v>0</v>
      </c>
      <c r="O107" s="8" t="s">
        <v>30</v>
      </c>
      <c r="P107" t="str">
        <f>TEXT(Table1[[#This Row],[Transaction_Date]],"mmm")</f>
        <v>Nov</v>
      </c>
      <c r="Q107" s="11">
        <v>45968</v>
      </c>
      <c r="R107" s="8" t="s">
        <v>366</v>
      </c>
      <c r="S107" s="8" t="s">
        <v>70</v>
      </c>
      <c r="T107" s="9">
        <v>5969.43</v>
      </c>
      <c r="U107" t="s">
        <v>77</v>
      </c>
      <c r="V107" s="8" t="s">
        <v>62</v>
      </c>
      <c r="W107"/>
      <c r="X107"/>
    </row>
    <row r="108" spans="1:24" x14ac:dyDescent="0.3">
      <c r="A108" t="s">
        <v>367</v>
      </c>
      <c r="B108" t="s">
        <v>368</v>
      </c>
      <c r="C108">
        <v>37</v>
      </c>
      <c r="D108" t="s">
        <v>37</v>
      </c>
      <c r="E108" t="s">
        <v>38</v>
      </c>
      <c r="F108" t="s">
        <v>37</v>
      </c>
      <c r="G108" t="s">
        <v>39</v>
      </c>
      <c r="H108" s="8" t="s">
        <v>40</v>
      </c>
      <c r="I108" s="9">
        <v>81688.149999999994</v>
      </c>
      <c r="J108" s="9">
        <v>33086.800000000003</v>
      </c>
      <c r="K108" s="8" t="s">
        <v>68</v>
      </c>
      <c r="L108" s="10">
        <v>66588.53</v>
      </c>
      <c r="M108" s="8" t="s">
        <v>29</v>
      </c>
      <c r="N108" s="9">
        <v>44460.45</v>
      </c>
      <c r="O108" s="8" t="s">
        <v>30</v>
      </c>
      <c r="P108" t="str">
        <f>TEXT(Table1[[#This Row],[Transaction_Date]],"mmm")</f>
        <v>Aug</v>
      </c>
      <c r="Q108" s="11">
        <v>45888</v>
      </c>
      <c r="R108" s="8" t="s">
        <v>369</v>
      </c>
      <c r="S108" s="8" t="s">
        <v>32</v>
      </c>
      <c r="T108" s="9">
        <v>2437.56</v>
      </c>
      <c r="U108" t="s">
        <v>61</v>
      </c>
      <c r="V108" s="8" t="s">
        <v>34</v>
      </c>
      <c r="W108"/>
      <c r="X108"/>
    </row>
    <row r="109" spans="1:24" x14ac:dyDescent="0.3">
      <c r="A109" t="s">
        <v>370</v>
      </c>
      <c r="B109" t="s">
        <v>91</v>
      </c>
      <c r="C109">
        <v>67</v>
      </c>
      <c r="D109" t="s">
        <v>65</v>
      </c>
      <c r="E109" t="s">
        <v>66</v>
      </c>
      <c r="F109" t="s">
        <v>65</v>
      </c>
      <c r="G109" t="s">
        <v>39</v>
      </c>
      <c r="H109" s="8" t="s">
        <v>40</v>
      </c>
      <c r="I109" s="9">
        <v>66175.81</v>
      </c>
      <c r="J109" s="9">
        <v>5602.88</v>
      </c>
      <c r="K109" s="8" t="s">
        <v>28</v>
      </c>
      <c r="L109" s="10">
        <v>26172.78</v>
      </c>
      <c r="M109" s="8" t="s">
        <v>29</v>
      </c>
      <c r="N109" s="9">
        <v>15357.13</v>
      </c>
      <c r="O109" s="8" t="s">
        <v>228</v>
      </c>
      <c r="P109" t="str">
        <f>TEXT(Table1[[#This Row],[Transaction_Date]],"mmm")</f>
        <v>May</v>
      </c>
      <c r="Q109" s="11">
        <v>45800</v>
      </c>
      <c r="R109" s="8" t="s">
        <v>371</v>
      </c>
      <c r="S109" s="8" t="s">
        <v>32</v>
      </c>
      <c r="T109" s="9">
        <v>242.36</v>
      </c>
      <c r="U109" t="s">
        <v>33</v>
      </c>
      <c r="V109" s="8" t="s">
        <v>62</v>
      </c>
      <c r="W109"/>
      <c r="X109"/>
    </row>
    <row r="110" spans="1:24" hidden="1" x14ac:dyDescent="0.3">
      <c r="A110" t="s">
        <v>372</v>
      </c>
      <c r="B110" t="s">
        <v>373</v>
      </c>
      <c r="C110">
        <v>32</v>
      </c>
      <c r="D110" t="s">
        <v>57</v>
      </c>
      <c r="E110" t="s">
        <v>58</v>
      </c>
      <c r="F110" t="s">
        <v>57</v>
      </c>
      <c r="G110" t="s">
        <v>51</v>
      </c>
      <c r="H110" s="8" t="s">
        <v>27</v>
      </c>
      <c r="I110" s="9">
        <v>67718.58</v>
      </c>
      <c r="J110" s="9">
        <v>61885.56</v>
      </c>
      <c r="K110" s="8" t="s">
        <v>68</v>
      </c>
      <c r="L110" s="10">
        <v>40465.230000000003</v>
      </c>
      <c r="M110" s="8" t="s">
        <v>29</v>
      </c>
      <c r="N110" s="9">
        <v>8787.85</v>
      </c>
      <c r="O110" s="8" t="s">
        <v>30</v>
      </c>
      <c r="P110" t="str">
        <f>TEXT(Table1[[#This Row],[Transaction_Date]],"mmm")</f>
        <v>Jul</v>
      </c>
      <c r="Q110" s="11">
        <v>45863</v>
      </c>
      <c r="R110" s="8" t="s">
        <v>374</v>
      </c>
      <c r="S110" s="8" t="s">
        <v>32</v>
      </c>
      <c r="T110" s="9">
        <v>6180.91</v>
      </c>
      <c r="U110" t="s">
        <v>106</v>
      </c>
      <c r="V110" s="8" t="s">
        <v>62</v>
      </c>
      <c r="W110"/>
      <c r="X110"/>
    </row>
    <row r="111" spans="1:24" hidden="1" x14ac:dyDescent="0.3">
      <c r="A111" t="s">
        <v>375</v>
      </c>
      <c r="B111" t="s">
        <v>376</v>
      </c>
      <c r="C111">
        <v>43</v>
      </c>
      <c r="D111" t="s">
        <v>65</v>
      </c>
      <c r="E111" t="s">
        <v>66</v>
      </c>
      <c r="F111" t="s">
        <v>65</v>
      </c>
      <c r="G111" t="s">
        <v>80</v>
      </c>
      <c r="H111" s="8" t="s">
        <v>51</v>
      </c>
      <c r="I111" s="9">
        <v>62734.06</v>
      </c>
      <c r="J111" s="9">
        <v>12840.62</v>
      </c>
      <c r="K111" s="8" t="s">
        <v>68</v>
      </c>
      <c r="L111" s="10">
        <v>122161.26</v>
      </c>
      <c r="M111" s="8" t="s">
        <v>29</v>
      </c>
      <c r="N111" s="9">
        <v>31758.76</v>
      </c>
      <c r="O111" s="8" t="s">
        <v>30</v>
      </c>
      <c r="P111" t="str">
        <f>TEXT(Table1[[#This Row],[Transaction_Date]],"mmm")</f>
        <v>May</v>
      </c>
      <c r="Q111" s="11">
        <v>45785</v>
      </c>
      <c r="R111" s="8" t="s">
        <v>377</v>
      </c>
      <c r="S111" s="8" t="s">
        <v>44</v>
      </c>
      <c r="T111" s="9">
        <v>90.58</v>
      </c>
      <c r="U111" t="s">
        <v>33</v>
      </c>
      <c r="V111" s="8" t="s">
        <v>46</v>
      </c>
      <c r="W111"/>
      <c r="X111"/>
    </row>
    <row r="112" spans="1:24" hidden="1" x14ac:dyDescent="0.3">
      <c r="A112" t="s">
        <v>378</v>
      </c>
      <c r="B112" t="s">
        <v>379</v>
      </c>
      <c r="C112">
        <v>41</v>
      </c>
      <c r="D112" t="s">
        <v>49</v>
      </c>
      <c r="E112" t="s">
        <v>50</v>
      </c>
      <c r="F112" t="s">
        <v>49</v>
      </c>
      <c r="G112" t="s">
        <v>26</v>
      </c>
      <c r="H112" s="8" t="s">
        <v>40</v>
      </c>
      <c r="I112" s="9">
        <v>80167.73</v>
      </c>
      <c r="J112" s="9">
        <v>12905.06</v>
      </c>
      <c r="K112" s="8" t="s">
        <v>28</v>
      </c>
      <c r="L112" s="10">
        <v>25000</v>
      </c>
      <c r="M112" s="8" t="s">
        <v>29</v>
      </c>
      <c r="N112" s="9">
        <v>8970.41</v>
      </c>
      <c r="O112" s="8" t="s">
        <v>30</v>
      </c>
      <c r="P112" t="str">
        <f>TEXT(Table1[[#This Row],[Transaction_Date]],"mmm")</f>
        <v>Jun</v>
      </c>
      <c r="Q112" s="11">
        <v>45835</v>
      </c>
      <c r="R112" s="8" t="s">
        <v>380</v>
      </c>
      <c r="S112" s="8" t="s">
        <v>54</v>
      </c>
      <c r="T112" s="9">
        <v>2375.17</v>
      </c>
      <c r="U112" t="s">
        <v>106</v>
      </c>
      <c r="V112" s="8" t="s">
        <v>34</v>
      </c>
      <c r="W112"/>
      <c r="X112"/>
    </row>
    <row r="113" spans="1:24" hidden="1" x14ac:dyDescent="0.3">
      <c r="A113" t="s">
        <v>381</v>
      </c>
      <c r="B113" t="s">
        <v>382</v>
      </c>
      <c r="C113">
        <v>33</v>
      </c>
      <c r="D113" t="s">
        <v>49</v>
      </c>
      <c r="E113" t="s">
        <v>50</v>
      </c>
      <c r="F113" t="s">
        <v>49</v>
      </c>
      <c r="G113" t="s">
        <v>80</v>
      </c>
      <c r="H113" s="8" t="s">
        <v>40</v>
      </c>
      <c r="I113" s="9">
        <v>68773.679999999993</v>
      </c>
      <c r="J113" s="9">
        <v>8782.4</v>
      </c>
      <c r="K113" s="8" t="s">
        <v>41</v>
      </c>
      <c r="L113" s="10">
        <v>34559.4</v>
      </c>
      <c r="M113" s="8" t="s">
        <v>29</v>
      </c>
      <c r="N113" s="9">
        <v>23907.94</v>
      </c>
      <c r="O113" s="8" t="s">
        <v>30</v>
      </c>
      <c r="P113" t="str">
        <f>TEXT(Table1[[#This Row],[Transaction_Date]],"mmm")</f>
        <v>Jun</v>
      </c>
      <c r="Q113" s="11">
        <v>45835</v>
      </c>
      <c r="R113" s="8" t="s">
        <v>383</v>
      </c>
      <c r="S113" s="8" t="s">
        <v>54</v>
      </c>
      <c r="T113" s="9">
        <v>2068.96</v>
      </c>
      <c r="U113" t="s">
        <v>45</v>
      </c>
      <c r="V113" s="8" t="s">
        <v>62</v>
      </c>
      <c r="W113"/>
      <c r="X113"/>
    </row>
    <row r="114" spans="1:24" hidden="1" x14ac:dyDescent="0.3">
      <c r="A114" t="s">
        <v>384</v>
      </c>
      <c r="B114" t="s">
        <v>251</v>
      </c>
      <c r="C114">
        <v>22</v>
      </c>
      <c r="D114" t="s">
        <v>24</v>
      </c>
      <c r="E114" t="s">
        <v>25</v>
      </c>
      <c r="F114" t="s">
        <v>24</v>
      </c>
      <c r="G114" t="s">
        <v>51</v>
      </c>
      <c r="H114" s="8" t="s">
        <v>40</v>
      </c>
      <c r="I114" s="9">
        <v>46385.57</v>
      </c>
      <c r="J114" s="9">
        <v>22928.07</v>
      </c>
      <c r="K114" s="8" t="s">
        <v>28</v>
      </c>
      <c r="L114" s="10">
        <v>59195.76</v>
      </c>
      <c r="M114" s="8" t="s">
        <v>29</v>
      </c>
      <c r="N114" s="9">
        <v>45593.599999999999</v>
      </c>
      <c r="O114" s="8" t="s">
        <v>30</v>
      </c>
      <c r="P114" t="str">
        <f>TEXT(Table1[[#This Row],[Transaction_Date]],"mmm")</f>
        <v>Mar</v>
      </c>
      <c r="Q114" s="11">
        <v>45722</v>
      </c>
      <c r="R114" s="8" t="s">
        <v>385</v>
      </c>
      <c r="S114" s="8" t="s">
        <v>44</v>
      </c>
      <c r="T114" s="9">
        <v>4067.87</v>
      </c>
      <c r="U114" t="s">
        <v>61</v>
      </c>
      <c r="V114" s="8" t="s">
        <v>62</v>
      </c>
      <c r="W114"/>
      <c r="X114"/>
    </row>
    <row r="115" spans="1:24" x14ac:dyDescent="0.3">
      <c r="A115" t="s">
        <v>386</v>
      </c>
      <c r="B115" t="s">
        <v>387</v>
      </c>
      <c r="C115">
        <v>50</v>
      </c>
      <c r="D115" t="s">
        <v>37</v>
      </c>
      <c r="E115" t="s">
        <v>38</v>
      </c>
      <c r="F115" t="s">
        <v>37</v>
      </c>
      <c r="G115" t="s">
        <v>39</v>
      </c>
      <c r="H115" s="8" t="s">
        <v>40</v>
      </c>
      <c r="I115" s="9">
        <v>54118.05</v>
      </c>
      <c r="J115" s="9">
        <v>9372.66</v>
      </c>
      <c r="K115" s="8" t="s">
        <v>28</v>
      </c>
      <c r="L115" s="10">
        <v>143797.78</v>
      </c>
      <c r="M115" s="8" t="s">
        <v>29</v>
      </c>
      <c r="N115" s="9">
        <v>69298.48</v>
      </c>
      <c r="O115" s="8" t="s">
        <v>30</v>
      </c>
      <c r="P115" t="str">
        <f>TEXT(Table1[[#This Row],[Transaction_Date]],"mmm")</f>
        <v>Feb</v>
      </c>
      <c r="Q115" s="11">
        <v>45699</v>
      </c>
      <c r="R115" s="8" t="s">
        <v>388</v>
      </c>
      <c r="S115" s="8" t="s">
        <v>32</v>
      </c>
      <c r="T115" s="9">
        <v>880.44</v>
      </c>
      <c r="U115" t="s">
        <v>77</v>
      </c>
      <c r="V115" s="8" t="s">
        <v>62</v>
      </c>
      <c r="W115"/>
      <c r="X115"/>
    </row>
    <row r="116" spans="1:24" x14ac:dyDescent="0.3">
      <c r="A116" t="s">
        <v>389</v>
      </c>
      <c r="B116" t="s">
        <v>390</v>
      </c>
      <c r="C116">
        <v>43</v>
      </c>
      <c r="D116" t="s">
        <v>84</v>
      </c>
      <c r="E116" t="s">
        <v>85</v>
      </c>
      <c r="F116" t="s">
        <v>84</v>
      </c>
      <c r="G116" t="s">
        <v>39</v>
      </c>
      <c r="H116" s="8" t="s">
        <v>27</v>
      </c>
      <c r="I116" s="9">
        <v>102460.78</v>
      </c>
      <c r="J116" s="9">
        <v>27814.76</v>
      </c>
      <c r="K116" s="8" t="s">
        <v>74</v>
      </c>
      <c r="L116" s="10">
        <v>0</v>
      </c>
      <c r="M116" s="8" t="s">
        <v>75</v>
      </c>
      <c r="N116" s="9">
        <v>0</v>
      </c>
      <c r="O116" s="8" t="s">
        <v>30</v>
      </c>
      <c r="P116" t="str">
        <f>TEXT(Table1[[#This Row],[Transaction_Date]],"mmm")</f>
        <v>Oct</v>
      </c>
      <c r="Q116" s="11">
        <v>45947</v>
      </c>
      <c r="R116" s="8" t="s">
        <v>391</v>
      </c>
      <c r="S116" s="8" t="s">
        <v>44</v>
      </c>
      <c r="T116" s="9">
        <v>1463.99</v>
      </c>
      <c r="U116" t="s">
        <v>77</v>
      </c>
      <c r="V116" s="8" t="s">
        <v>62</v>
      </c>
      <c r="W116"/>
      <c r="X116"/>
    </row>
    <row r="117" spans="1:24" hidden="1" x14ac:dyDescent="0.3">
      <c r="A117" t="s">
        <v>392</v>
      </c>
      <c r="B117" t="s">
        <v>393</v>
      </c>
      <c r="C117">
        <v>50</v>
      </c>
      <c r="D117" t="s">
        <v>24</v>
      </c>
      <c r="E117" t="s">
        <v>25</v>
      </c>
      <c r="F117" t="s">
        <v>24</v>
      </c>
      <c r="G117" t="s">
        <v>51</v>
      </c>
      <c r="H117" s="8" t="s">
        <v>40</v>
      </c>
      <c r="I117" s="9">
        <v>46962.93</v>
      </c>
      <c r="J117" s="9">
        <v>21929.5</v>
      </c>
      <c r="K117" s="8" t="s">
        <v>74</v>
      </c>
      <c r="L117" s="10">
        <v>0</v>
      </c>
      <c r="M117" s="8" t="s">
        <v>75</v>
      </c>
      <c r="N117" s="9">
        <v>0</v>
      </c>
      <c r="O117" s="8" t="s">
        <v>30</v>
      </c>
      <c r="P117" t="str">
        <f>TEXT(Table1[[#This Row],[Transaction_Date]],"mmm")</f>
        <v>Jun</v>
      </c>
      <c r="Q117" s="11">
        <v>45809</v>
      </c>
      <c r="R117" s="8" t="s">
        <v>394</v>
      </c>
      <c r="S117" s="8" t="s">
        <v>54</v>
      </c>
      <c r="T117" s="9">
        <v>5019.84</v>
      </c>
      <c r="U117" t="s">
        <v>33</v>
      </c>
      <c r="V117" s="8" t="s">
        <v>34</v>
      </c>
      <c r="W117"/>
      <c r="X117"/>
    </row>
    <row r="118" spans="1:24" hidden="1" x14ac:dyDescent="0.3">
      <c r="A118" t="s">
        <v>395</v>
      </c>
      <c r="B118" t="s">
        <v>396</v>
      </c>
      <c r="C118">
        <v>25</v>
      </c>
      <c r="D118" t="s">
        <v>97</v>
      </c>
      <c r="E118" t="s">
        <v>98</v>
      </c>
      <c r="F118" t="s">
        <v>97</v>
      </c>
      <c r="G118" t="s">
        <v>80</v>
      </c>
      <c r="H118" s="8" t="s">
        <v>51</v>
      </c>
      <c r="I118" s="9">
        <v>68356.88</v>
      </c>
      <c r="J118" s="9">
        <v>5866.98</v>
      </c>
      <c r="K118" s="8" t="s">
        <v>68</v>
      </c>
      <c r="L118" s="10">
        <v>160070.43</v>
      </c>
      <c r="M118" s="8" t="s">
        <v>29</v>
      </c>
      <c r="N118" s="9">
        <v>56707.42</v>
      </c>
      <c r="O118" s="8" t="s">
        <v>30</v>
      </c>
      <c r="P118" t="str">
        <f>TEXT(Table1[[#This Row],[Transaction_Date]],"mmm")</f>
        <v>Nov</v>
      </c>
      <c r="Q118" s="11">
        <v>45981</v>
      </c>
      <c r="R118" s="8" t="s">
        <v>397</v>
      </c>
      <c r="S118" s="8" t="s">
        <v>32</v>
      </c>
      <c r="T118" s="9">
        <v>3291.88</v>
      </c>
      <c r="U118" t="s">
        <v>61</v>
      </c>
      <c r="V118" s="8" t="s">
        <v>62</v>
      </c>
      <c r="W118"/>
      <c r="X118"/>
    </row>
    <row r="119" spans="1:24" hidden="1" x14ac:dyDescent="0.3">
      <c r="A119" t="s">
        <v>398</v>
      </c>
      <c r="B119" t="s">
        <v>132</v>
      </c>
      <c r="C119">
        <v>63</v>
      </c>
      <c r="D119" t="s">
        <v>57</v>
      </c>
      <c r="E119" t="s">
        <v>58</v>
      </c>
      <c r="F119" t="s">
        <v>57</v>
      </c>
      <c r="G119" t="s">
        <v>51</v>
      </c>
      <c r="H119" s="8" t="s">
        <v>40</v>
      </c>
      <c r="I119" s="9">
        <v>73248.429999999993</v>
      </c>
      <c r="J119" s="9">
        <v>25154.43</v>
      </c>
      <c r="K119" s="8" t="s">
        <v>28</v>
      </c>
      <c r="L119" s="10">
        <v>26763.07</v>
      </c>
      <c r="M119" s="8" t="s">
        <v>29</v>
      </c>
      <c r="N119" s="9">
        <v>7576.78</v>
      </c>
      <c r="O119" s="8" t="s">
        <v>30</v>
      </c>
      <c r="P119" t="str">
        <f>TEXT(Table1[[#This Row],[Transaction_Date]],"mmm")</f>
        <v>Jun</v>
      </c>
      <c r="Q119" s="11">
        <v>45810</v>
      </c>
      <c r="R119" s="8" t="s">
        <v>399</v>
      </c>
      <c r="S119" s="8" t="s">
        <v>44</v>
      </c>
      <c r="T119" s="9">
        <v>3861.89</v>
      </c>
      <c r="U119" t="s">
        <v>33</v>
      </c>
      <c r="V119" s="8" t="s">
        <v>62</v>
      </c>
      <c r="W119"/>
      <c r="X119"/>
    </row>
    <row r="120" spans="1:24" hidden="1" x14ac:dyDescent="0.3">
      <c r="A120" t="s">
        <v>400</v>
      </c>
      <c r="B120" t="s">
        <v>401</v>
      </c>
      <c r="C120">
        <v>31</v>
      </c>
      <c r="D120" t="s">
        <v>37</v>
      </c>
      <c r="E120" t="s">
        <v>38</v>
      </c>
      <c r="F120" t="s">
        <v>37</v>
      </c>
      <c r="G120" t="s">
        <v>80</v>
      </c>
      <c r="H120" s="8" t="s">
        <v>67</v>
      </c>
      <c r="I120" s="9">
        <v>12000</v>
      </c>
      <c r="J120" s="9">
        <v>13249.03</v>
      </c>
      <c r="K120" s="8" t="s">
        <v>74</v>
      </c>
      <c r="L120" s="10">
        <v>0</v>
      </c>
      <c r="M120" s="8" t="s">
        <v>75</v>
      </c>
      <c r="N120" s="9">
        <v>0</v>
      </c>
      <c r="O120" s="8" t="s">
        <v>30</v>
      </c>
      <c r="P120" t="str">
        <f>TEXT(Table1[[#This Row],[Transaction_Date]],"mmm")</f>
        <v>Feb</v>
      </c>
      <c r="Q120" s="11">
        <v>45689</v>
      </c>
      <c r="R120" s="8" t="s">
        <v>402</v>
      </c>
      <c r="S120" s="8" t="s">
        <v>44</v>
      </c>
      <c r="T120" s="9">
        <v>6685.12</v>
      </c>
      <c r="U120" t="s">
        <v>71</v>
      </c>
      <c r="V120" s="8" t="s">
        <v>62</v>
      </c>
      <c r="W120"/>
      <c r="X120"/>
    </row>
    <row r="121" spans="1:24" hidden="1" x14ac:dyDescent="0.3">
      <c r="A121" t="s">
        <v>403</v>
      </c>
      <c r="B121" t="s">
        <v>203</v>
      </c>
      <c r="C121">
        <v>63</v>
      </c>
      <c r="D121" t="s">
        <v>57</v>
      </c>
      <c r="E121" t="s">
        <v>58</v>
      </c>
      <c r="F121" t="s">
        <v>57</v>
      </c>
      <c r="G121" t="s">
        <v>51</v>
      </c>
      <c r="H121" s="8" t="s">
        <v>40</v>
      </c>
      <c r="I121" s="9">
        <v>69583.39</v>
      </c>
      <c r="J121" s="9">
        <v>42232.38</v>
      </c>
      <c r="K121" s="8" t="s">
        <v>74</v>
      </c>
      <c r="L121" s="10">
        <v>0</v>
      </c>
      <c r="M121" s="8" t="s">
        <v>75</v>
      </c>
      <c r="N121" s="9">
        <v>0</v>
      </c>
      <c r="O121" s="8" t="s">
        <v>30</v>
      </c>
      <c r="P121" t="str">
        <f>TEXT(Table1[[#This Row],[Transaction_Date]],"mmm")</f>
        <v>Jul</v>
      </c>
      <c r="Q121" s="11">
        <v>45860</v>
      </c>
      <c r="R121" s="8" t="s">
        <v>404</v>
      </c>
      <c r="S121" s="8" t="s">
        <v>44</v>
      </c>
      <c r="T121" s="9">
        <v>8674.24</v>
      </c>
      <c r="U121" t="s">
        <v>106</v>
      </c>
      <c r="V121" s="8" t="s">
        <v>62</v>
      </c>
      <c r="W121"/>
      <c r="X121"/>
    </row>
    <row r="122" spans="1:24" x14ac:dyDescent="0.3">
      <c r="A122" t="s">
        <v>405</v>
      </c>
      <c r="B122" t="s">
        <v>406</v>
      </c>
      <c r="C122">
        <v>42</v>
      </c>
      <c r="D122" t="s">
        <v>37</v>
      </c>
      <c r="E122" t="s">
        <v>38</v>
      </c>
      <c r="F122" t="s">
        <v>37</v>
      </c>
      <c r="G122" t="s">
        <v>39</v>
      </c>
      <c r="H122" s="8" t="s">
        <v>27</v>
      </c>
      <c r="I122" s="9">
        <v>33577.51</v>
      </c>
      <c r="J122" s="9">
        <v>14456.72</v>
      </c>
      <c r="K122" s="8" t="s">
        <v>68</v>
      </c>
      <c r="L122" s="10">
        <v>25000</v>
      </c>
      <c r="M122" s="8" t="s">
        <v>29</v>
      </c>
      <c r="N122" s="9">
        <v>18939.2</v>
      </c>
      <c r="O122" s="8" t="s">
        <v>30</v>
      </c>
      <c r="P122" t="str">
        <f>TEXT(Table1[[#This Row],[Transaction_Date]],"mmm")</f>
        <v>Apr</v>
      </c>
      <c r="Q122" s="11">
        <v>45775</v>
      </c>
      <c r="R122" s="8" t="s">
        <v>407</v>
      </c>
      <c r="S122" s="8" t="s">
        <v>70</v>
      </c>
      <c r="T122" s="9">
        <v>6331.81</v>
      </c>
      <c r="U122" t="s">
        <v>61</v>
      </c>
      <c r="V122" s="8" t="s">
        <v>62</v>
      </c>
      <c r="W122"/>
      <c r="X122"/>
    </row>
    <row r="123" spans="1:24" hidden="1" x14ac:dyDescent="0.3">
      <c r="A123" t="s">
        <v>408</v>
      </c>
      <c r="B123" t="s">
        <v>409</v>
      </c>
      <c r="C123">
        <v>42</v>
      </c>
      <c r="D123" t="s">
        <v>49</v>
      </c>
      <c r="E123" t="s">
        <v>50</v>
      </c>
      <c r="F123" t="s">
        <v>49</v>
      </c>
      <c r="G123" t="s">
        <v>80</v>
      </c>
      <c r="H123" s="8" t="s">
        <v>51</v>
      </c>
      <c r="I123" s="9">
        <v>45698.14</v>
      </c>
      <c r="J123" s="9">
        <v>68212.7</v>
      </c>
      <c r="K123" s="8" t="s">
        <v>74</v>
      </c>
      <c r="L123" s="10">
        <v>0</v>
      </c>
      <c r="M123" s="8" t="s">
        <v>75</v>
      </c>
      <c r="N123" s="9">
        <v>0</v>
      </c>
      <c r="O123" s="8" t="s">
        <v>30</v>
      </c>
      <c r="P123" t="str">
        <f>TEXT(Table1[[#This Row],[Transaction_Date]],"mmm")</f>
        <v>Jan</v>
      </c>
      <c r="Q123" s="11">
        <v>45667</v>
      </c>
      <c r="R123" s="8" t="s">
        <v>410</v>
      </c>
      <c r="S123" s="8" t="s">
        <v>70</v>
      </c>
      <c r="T123" s="9">
        <v>4596.82</v>
      </c>
      <c r="U123" t="s">
        <v>61</v>
      </c>
      <c r="V123" s="8" t="s">
        <v>62</v>
      </c>
      <c r="W123"/>
      <c r="X123"/>
    </row>
    <row r="124" spans="1:24" x14ac:dyDescent="0.3">
      <c r="A124" t="s">
        <v>411</v>
      </c>
      <c r="B124" t="s">
        <v>412</v>
      </c>
      <c r="C124">
        <v>52</v>
      </c>
      <c r="D124" t="s">
        <v>92</v>
      </c>
      <c r="E124" t="s">
        <v>93</v>
      </c>
      <c r="F124" t="s">
        <v>92</v>
      </c>
      <c r="G124" t="s">
        <v>39</v>
      </c>
      <c r="H124" s="8" t="s">
        <v>51</v>
      </c>
      <c r="I124" s="9">
        <v>72551.66</v>
      </c>
      <c r="J124" s="9">
        <v>47173.87</v>
      </c>
      <c r="K124" s="8" t="s">
        <v>74</v>
      </c>
      <c r="L124" s="10">
        <v>0</v>
      </c>
      <c r="M124" s="8" t="s">
        <v>75</v>
      </c>
      <c r="N124" s="9">
        <v>0</v>
      </c>
      <c r="O124" s="8" t="s">
        <v>30</v>
      </c>
      <c r="P124" t="str">
        <f>TEXT(Table1[[#This Row],[Transaction_Date]],"mmm")</f>
        <v>Jan</v>
      </c>
      <c r="Q124" s="11">
        <v>45677</v>
      </c>
      <c r="R124" s="8" t="s">
        <v>413</v>
      </c>
      <c r="S124" s="8" t="s">
        <v>44</v>
      </c>
      <c r="T124" s="9">
        <v>1703.52</v>
      </c>
      <c r="U124" t="s">
        <v>33</v>
      </c>
      <c r="V124" s="8" t="s">
        <v>62</v>
      </c>
      <c r="W124"/>
      <c r="X124"/>
    </row>
    <row r="125" spans="1:24" hidden="1" x14ac:dyDescent="0.3">
      <c r="A125" t="s">
        <v>414</v>
      </c>
      <c r="B125" t="s">
        <v>415</v>
      </c>
      <c r="C125">
        <v>28</v>
      </c>
      <c r="D125" t="s">
        <v>92</v>
      </c>
      <c r="E125" t="s">
        <v>93</v>
      </c>
      <c r="F125" t="s">
        <v>92</v>
      </c>
      <c r="G125" t="s">
        <v>26</v>
      </c>
      <c r="H125" s="8" t="s">
        <v>40</v>
      </c>
      <c r="I125" s="9">
        <v>87058.31</v>
      </c>
      <c r="J125" s="9">
        <v>6253.65</v>
      </c>
      <c r="K125" s="8" t="s">
        <v>74</v>
      </c>
      <c r="L125" s="10">
        <v>0</v>
      </c>
      <c r="M125" s="8" t="s">
        <v>75</v>
      </c>
      <c r="N125" s="9">
        <v>0</v>
      </c>
      <c r="O125" s="8" t="s">
        <v>30</v>
      </c>
      <c r="P125" t="str">
        <f>TEXT(Table1[[#This Row],[Transaction_Date]],"mmm")</f>
        <v>Nov</v>
      </c>
      <c r="Q125" s="11">
        <v>45967</v>
      </c>
      <c r="R125" s="8" t="s">
        <v>416</v>
      </c>
      <c r="S125" s="8" t="s">
        <v>70</v>
      </c>
      <c r="T125" s="9">
        <v>9571.5300000000007</v>
      </c>
      <c r="U125" t="s">
        <v>71</v>
      </c>
      <c r="V125" s="8" t="s">
        <v>46</v>
      </c>
      <c r="W125"/>
      <c r="X125"/>
    </row>
    <row r="126" spans="1:24" x14ac:dyDescent="0.3">
      <c r="A126" t="s">
        <v>417</v>
      </c>
      <c r="B126" t="s">
        <v>418</v>
      </c>
      <c r="C126">
        <v>31</v>
      </c>
      <c r="D126" t="s">
        <v>97</v>
      </c>
      <c r="E126" t="s">
        <v>98</v>
      </c>
      <c r="F126" t="s">
        <v>97</v>
      </c>
      <c r="G126" t="s">
        <v>39</v>
      </c>
      <c r="H126" s="8" t="s">
        <v>51</v>
      </c>
      <c r="I126" s="9">
        <v>57438.06</v>
      </c>
      <c r="J126" s="9">
        <v>20023.060000000001</v>
      </c>
      <c r="K126" s="8" t="s">
        <v>68</v>
      </c>
      <c r="L126" s="10">
        <v>394078.61</v>
      </c>
      <c r="M126" s="8" t="s">
        <v>29</v>
      </c>
      <c r="N126" s="9">
        <v>85593.72</v>
      </c>
      <c r="O126" s="8" t="s">
        <v>30</v>
      </c>
      <c r="P126" t="str">
        <f>TEXT(Table1[[#This Row],[Transaction_Date]],"mmm")</f>
        <v>Nov</v>
      </c>
      <c r="Q126" s="11">
        <v>45976</v>
      </c>
      <c r="R126" s="8" t="s">
        <v>419</v>
      </c>
      <c r="S126" s="8" t="s">
        <v>54</v>
      </c>
      <c r="T126" s="9">
        <v>2973.85</v>
      </c>
      <c r="U126" t="s">
        <v>106</v>
      </c>
      <c r="V126" s="8" t="s">
        <v>62</v>
      </c>
      <c r="W126"/>
      <c r="X126"/>
    </row>
    <row r="127" spans="1:24" x14ac:dyDescent="0.3">
      <c r="A127" t="s">
        <v>420</v>
      </c>
      <c r="B127" t="s">
        <v>421</v>
      </c>
      <c r="C127">
        <v>49</v>
      </c>
      <c r="D127" t="s">
        <v>49</v>
      </c>
      <c r="E127" t="s">
        <v>50</v>
      </c>
      <c r="F127" t="s">
        <v>49</v>
      </c>
      <c r="G127" t="s">
        <v>39</v>
      </c>
      <c r="H127" s="8" t="s">
        <v>40</v>
      </c>
      <c r="I127" s="9">
        <v>35691.870000000003</v>
      </c>
      <c r="J127" s="9">
        <v>42008.51</v>
      </c>
      <c r="K127" s="8" t="s">
        <v>59</v>
      </c>
      <c r="L127" s="10">
        <v>107674.72</v>
      </c>
      <c r="M127" s="8" t="s">
        <v>29</v>
      </c>
      <c r="N127" s="9">
        <v>26585.61</v>
      </c>
      <c r="O127" s="8" t="s">
        <v>30</v>
      </c>
      <c r="P127" t="str">
        <f>TEXT(Table1[[#This Row],[Transaction_Date]],"mmm")</f>
        <v>Oct</v>
      </c>
      <c r="Q127" s="11">
        <v>45960</v>
      </c>
      <c r="R127" s="8" t="s">
        <v>422</v>
      </c>
      <c r="S127" s="8" t="s">
        <v>32</v>
      </c>
      <c r="T127" s="9">
        <v>2522.92</v>
      </c>
      <c r="U127" t="s">
        <v>71</v>
      </c>
      <c r="V127" s="8" t="s">
        <v>62</v>
      </c>
      <c r="W127"/>
      <c r="X127"/>
    </row>
    <row r="128" spans="1:24" x14ac:dyDescent="0.3">
      <c r="A128" t="s">
        <v>423</v>
      </c>
      <c r="B128" t="s">
        <v>424</v>
      </c>
      <c r="C128">
        <v>44</v>
      </c>
      <c r="D128" t="s">
        <v>57</v>
      </c>
      <c r="E128" t="s">
        <v>58</v>
      </c>
      <c r="F128" t="s">
        <v>57</v>
      </c>
      <c r="G128" t="s">
        <v>39</v>
      </c>
      <c r="H128" s="8" t="s">
        <v>27</v>
      </c>
      <c r="I128" s="9">
        <v>74265.75</v>
      </c>
      <c r="J128" s="9">
        <v>48053.74</v>
      </c>
      <c r="K128" s="8" t="s">
        <v>74</v>
      </c>
      <c r="L128" s="10">
        <v>0</v>
      </c>
      <c r="M128" s="8" t="s">
        <v>75</v>
      </c>
      <c r="N128" s="9">
        <v>0</v>
      </c>
      <c r="O128" s="8" t="s">
        <v>30</v>
      </c>
      <c r="P128" t="str">
        <f>TEXT(Table1[[#This Row],[Transaction_Date]],"mmm")</f>
        <v>Mar</v>
      </c>
      <c r="Q128" s="11">
        <v>45747</v>
      </c>
      <c r="R128" s="8" t="s">
        <v>425</v>
      </c>
      <c r="S128" s="8" t="s">
        <v>70</v>
      </c>
      <c r="T128" s="9">
        <v>1828.32</v>
      </c>
      <c r="U128" t="s">
        <v>61</v>
      </c>
      <c r="V128" s="8" t="s">
        <v>62</v>
      </c>
      <c r="W128"/>
      <c r="X128"/>
    </row>
    <row r="129" spans="1:24" hidden="1" x14ac:dyDescent="0.3">
      <c r="A129" t="s">
        <v>426</v>
      </c>
      <c r="B129" t="s">
        <v>91</v>
      </c>
      <c r="C129">
        <v>24</v>
      </c>
      <c r="D129" t="s">
        <v>65</v>
      </c>
      <c r="E129" t="s">
        <v>66</v>
      </c>
      <c r="F129" t="s">
        <v>65</v>
      </c>
      <c r="G129" t="s">
        <v>80</v>
      </c>
      <c r="H129" s="8" t="s">
        <v>40</v>
      </c>
      <c r="I129" s="9">
        <v>26380.16</v>
      </c>
      <c r="J129" s="9">
        <v>15264.27</v>
      </c>
      <c r="K129" s="8" t="s">
        <v>74</v>
      </c>
      <c r="L129" s="10">
        <v>0</v>
      </c>
      <c r="M129" s="8" t="s">
        <v>75</v>
      </c>
      <c r="N129" s="9">
        <v>0</v>
      </c>
      <c r="O129" s="8" t="s">
        <v>30</v>
      </c>
      <c r="P129" t="str">
        <f>TEXT(Table1[[#This Row],[Transaction_Date]],"mmm")</f>
        <v>Nov</v>
      </c>
      <c r="Q129" s="11">
        <v>45977</v>
      </c>
      <c r="R129" s="8" t="s">
        <v>427</v>
      </c>
      <c r="S129" s="8" t="s">
        <v>54</v>
      </c>
      <c r="T129" s="9">
        <v>3443.9</v>
      </c>
      <c r="U129" t="s">
        <v>106</v>
      </c>
      <c r="V129" s="8" t="s">
        <v>62</v>
      </c>
      <c r="W129"/>
      <c r="X129"/>
    </row>
    <row r="130" spans="1:24" hidden="1" x14ac:dyDescent="0.3">
      <c r="A130" t="s">
        <v>428</v>
      </c>
      <c r="B130" t="s">
        <v>429</v>
      </c>
      <c r="C130">
        <v>54</v>
      </c>
      <c r="D130" t="s">
        <v>92</v>
      </c>
      <c r="E130" t="s">
        <v>93</v>
      </c>
      <c r="F130" t="s">
        <v>92</v>
      </c>
      <c r="G130" t="s">
        <v>80</v>
      </c>
      <c r="H130" s="8" t="s">
        <v>40</v>
      </c>
      <c r="I130" s="9">
        <v>33015.120000000003</v>
      </c>
      <c r="J130" s="9">
        <v>19547.79</v>
      </c>
      <c r="K130" s="8" t="s">
        <v>74</v>
      </c>
      <c r="L130" s="10">
        <v>0</v>
      </c>
      <c r="M130" s="8" t="s">
        <v>75</v>
      </c>
      <c r="N130" s="9">
        <v>0</v>
      </c>
      <c r="O130" s="8" t="s">
        <v>30</v>
      </c>
      <c r="P130" t="str">
        <f>TEXT(Table1[[#This Row],[Transaction_Date]],"mmm")</f>
        <v>Mar</v>
      </c>
      <c r="Q130" s="11">
        <v>45741</v>
      </c>
      <c r="R130" s="8" t="s">
        <v>430</v>
      </c>
      <c r="S130" s="8" t="s">
        <v>70</v>
      </c>
      <c r="T130" s="9">
        <v>2696.87</v>
      </c>
      <c r="U130" t="s">
        <v>71</v>
      </c>
      <c r="V130" s="8" t="s">
        <v>34</v>
      </c>
      <c r="W130"/>
      <c r="X130"/>
    </row>
    <row r="131" spans="1:24" x14ac:dyDescent="0.3">
      <c r="A131" t="s">
        <v>431</v>
      </c>
      <c r="B131" t="s">
        <v>432</v>
      </c>
      <c r="C131">
        <v>35</v>
      </c>
      <c r="D131" t="s">
        <v>57</v>
      </c>
      <c r="E131" t="s">
        <v>58</v>
      </c>
      <c r="F131" t="s">
        <v>57</v>
      </c>
      <c r="G131" t="s">
        <v>39</v>
      </c>
      <c r="H131" s="8" t="s">
        <v>40</v>
      </c>
      <c r="I131" s="9">
        <v>70709.89</v>
      </c>
      <c r="J131" s="9">
        <v>16578.099999999999</v>
      </c>
      <c r="K131" s="8" t="s">
        <v>28</v>
      </c>
      <c r="L131" s="10">
        <v>68216.179999999993</v>
      </c>
      <c r="M131" s="8" t="s">
        <v>29</v>
      </c>
      <c r="N131" s="9">
        <v>45348.38</v>
      </c>
      <c r="O131" s="8" t="s">
        <v>30</v>
      </c>
      <c r="P131" t="str">
        <f>TEXT(Table1[[#This Row],[Transaction_Date]],"mmm")</f>
        <v>Jan</v>
      </c>
      <c r="Q131" s="11">
        <v>45678</v>
      </c>
      <c r="R131" s="8" t="s">
        <v>433</v>
      </c>
      <c r="S131" s="8" t="s">
        <v>70</v>
      </c>
      <c r="T131" s="9">
        <v>2516.81</v>
      </c>
      <c r="U131" t="s">
        <v>106</v>
      </c>
      <c r="V131" s="8" t="s">
        <v>62</v>
      </c>
      <c r="W131"/>
      <c r="X131"/>
    </row>
    <row r="132" spans="1:24" hidden="1" x14ac:dyDescent="0.3">
      <c r="A132" t="s">
        <v>434</v>
      </c>
      <c r="B132" t="s">
        <v>141</v>
      </c>
      <c r="C132">
        <v>42</v>
      </c>
      <c r="D132" t="s">
        <v>65</v>
      </c>
      <c r="E132" t="s">
        <v>66</v>
      </c>
      <c r="F132" t="s">
        <v>65</v>
      </c>
      <c r="G132" t="s">
        <v>51</v>
      </c>
      <c r="H132" s="8" t="s">
        <v>40</v>
      </c>
      <c r="I132" s="9">
        <v>20623.990000000002</v>
      </c>
      <c r="J132" s="9">
        <v>94081.32</v>
      </c>
      <c r="K132" s="8" t="s">
        <v>59</v>
      </c>
      <c r="L132" s="10">
        <v>40263.9</v>
      </c>
      <c r="M132" s="8" t="s">
        <v>29</v>
      </c>
      <c r="N132" s="9">
        <v>37685.919999999998</v>
      </c>
      <c r="O132" s="8" t="s">
        <v>30</v>
      </c>
      <c r="P132" t="str">
        <f>TEXT(Table1[[#This Row],[Transaction_Date]],"mmm")</f>
        <v>May</v>
      </c>
      <c r="Q132" s="11">
        <v>45788</v>
      </c>
      <c r="R132" s="8" t="s">
        <v>435</v>
      </c>
      <c r="S132" s="8" t="s">
        <v>70</v>
      </c>
      <c r="T132" s="9">
        <v>1707.39</v>
      </c>
      <c r="U132" t="s">
        <v>61</v>
      </c>
      <c r="V132" s="8" t="s">
        <v>62</v>
      </c>
      <c r="W132"/>
      <c r="X132"/>
    </row>
    <row r="133" spans="1:24" x14ac:dyDescent="0.3">
      <c r="A133" t="s">
        <v>436</v>
      </c>
      <c r="B133" t="s">
        <v>246</v>
      </c>
      <c r="C133">
        <v>25</v>
      </c>
      <c r="D133" t="s">
        <v>92</v>
      </c>
      <c r="E133" t="s">
        <v>93</v>
      </c>
      <c r="F133" t="s">
        <v>92</v>
      </c>
      <c r="G133" t="s">
        <v>39</v>
      </c>
      <c r="H133" s="8" t="s">
        <v>40</v>
      </c>
      <c r="I133" s="9">
        <v>51388.05</v>
      </c>
      <c r="J133" s="9">
        <v>12600.67</v>
      </c>
      <c r="K133" s="8" t="s">
        <v>74</v>
      </c>
      <c r="L133" s="10">
        <v>0</v>
      </c>
      <c r="M133" s="8" t="s">
        <v>75</v>
      </c>
      <c r="N133" s="9">
        <v>0</v>
      </c>
      <c r="O133" s="8" t="s">
        <v>30</v>
      </c>
      <c r="P133" t="str">
        <f>TEXT(Table1[[#This Row],[Transaction_Date]],"mmm")</f>
        <v>Mar</v>
      </c>
      <c r="Q133" s="11">
        <v>45743</v>
      </c>
      <c r="R133" s="8" t="s">
        <v>437</v>
      </c>
      <c r="S133" s="8" t="s">
        <v>70</v>
      </c>
      <c r="T133" s="9">
        <v>1079.42</v>
      </c>
      <c r="U133" t="s">
        <v>33</v>
      </c>
      <c r="V133" s="8" t="s">
        <v>62</v>
      </c>
      <c r="W133"/>
      <c r="X133"/>
    </row>
    <row r="134" spans="1:24" hidden="1" x14ac:dyDescent="0.3">
      <c r="A134" t="s">
        <v>438</v>
      </c>
      <c r="B134" t="s">
        <v>439</v>
      </c>
      <c r="C134">
        <v>38</v>
      </c>
      <c r="D134" t="s">
        <v>84</v>
      </c>
      <c r="E134" t="s">
        <v>85</v>
      </c>
      <c r="F134" t="s">
        <v>84</v>
      </c>
      <c r="G134" t="s">
        <v>80</v>
      </c>
      <c r="H134" s="8" t="s">
        <v>40</v>
      </c>
      <c r="I134" s="9">
        <v>45425.5</v>
      </c>
      <c r="J134" s="9">
        <v>37837.49</v>
      </c>
      <c r="K134" s="8" t="s">
        <v>41</v>
      </c>
      <c r="L134" s="10">
        <v>26330.7</v>
      </c>
      <c r="M134" s="8" t="s">
        <v>29</v>
      </c>
      <c r="N134" s="9">
        <v>9533.5</v>
      </c>
      <c r="O134" s="8" t="s">
        <v>30</v>
      </c>
      <c r="P134" t="str">
        <f>TEXT(Table1[[#This Row],[Transaction_Date]],"mmm")</f>
        <v>May</v>
      </c>
      <c r="Q134" s="11">
        <v>45801</v>
      </c>
      <c r="R134" s="8" t="s">
        <v>440</v>
      </c>
      <c r="S134" s="8" t="s">
        <v>44</v>
      </c>
      <c r="T134" s="9">
        <v>2157.94</v>
      </c>
      <c r="U134" t="s">
        <v>71</v>
      </c>
      <c r="V134" s="8" t="s">
        <v>34</v>
      </c>
      <c r="W134"/>
      <c r="X134"/>
    </row>
    <row r="135" spans="1:24" hidden="1" x14ac:dyDescent="0.3">
      <c r="A135" t="s">
        <v>441</v>
      </c>
      <c r="B135" t="s">
        <v>442</v>
      </c>
      <c r="C135">
        <v>35</v>
      </c>
      <c r="D135" t="s">
        <v>97</v>
      </c>
      <c r="E135" t="s">
        <v>98</v>
      </c>
      <c r="F135" t="s">
        <v>97</v>
      </c>
      <c r="G135" t="s">
        <v>80</v>
      </c>
      <c r="H135" s="8" t="s">
        <v>40</v>
      </c>
      <c r="I135" s="9">
        <v>57825.94</v>
      </c>
      <c r="J135" s="9">
        <v>73123.210000000006</v>
      </c>
      <c r="K135" s="8" t="s">
        <v>68</v>
      </c>
      <c r="L135" s="10">
        <v>133171.85999999999</v>
      </c>
      <c r="M135" s="8" t="s">
        <v>29</v>
      </c>
      <c r="N135" s="9">
        <v>101953.81</v>
      </c>
      <c r="O135" s="8" t="s">
        <v>30</v>
      </c>
      <c r="P135" t="str">
        <f>TEXT(Table1[[#This Row],[Transaction_Date]],"mmm")</f>
        <v>Aug</v>
      </c>
      <c r="Q135" s="11">
        <v>45889</v>
      </c>
      <c r="R135" s="8" t="s">
        <v>443</v>
      </c>
      <c r="S135" s="8" t="s">
        <v>32</v>
      </c>
      <c r="T135" s="9">
        <v>1558.56</v>
      </c>
      <c r="U135" t="s">
        <v>77</v>
      </c>
      <c r="V135" s="8" t="s">
        <v>34</v>
      </c>
      <c r="W135"/>
      <c r="X135"/>
    </row>
    <row r="136" spans="1:24" x14ac:dyDescent="0.3">
      <c r="A136" t="s">
        <v>444</v>
      </c>
      <c r="B136" t="s">
        <v>83</v>
      </c>
      <c r="C136">
        <v>19</v>
      </c>
      <c r="D136" t="s">
        <v>92</v>
      </c>
      <c r="E136" t="s">
        <v>93</v>
      </c>
      <c r="F136" t="s">
        <v>92</v>
      </c>
      <c r="G136" t="s">
        <v>39</v>
      </c>
      <c r="H136" s="8" t="s">
        <v>40</v>
      </c>
      <c r="I136" s="9">
        <v>38460.6</v>
      </c>
      <c r="J136" s="9">
        <v>30915.17</v>
      </c>
      <c r="K136" s="8" t="s">
        <v>28</v>
      </c>
      <c r="L136" s="10">
        <v>43487.63</v>
      </c>
      <c r="M136" s="8" t="s">
        <v>29</v>
      </c>
      <c r="N136" s="9">
        <v>40154.629999999997</v>
      </c>
      <c r="O136" s="8" t="s">
        <v>30</v>
      </c>
      <c r="P136" t="str">
        <f>TEXT(Table1[[#This Row],[Transaction_Date]],"mmm")</f>
        <v>Mar</v>
      </c>
      <c r="Q136" s="11">
        <v>45731</v>
      </c>
      <c r="R136" s="8" t="s">
        <v>445</v>
      </c>
      <c r="S136" s="8" t="s">
        <v>54</v>
      </c>
      <c r="T136" s="9">
        <v>13159.75</v>
      </c>
      <c r="U136" t="s">
        <v>61</v>
      </c>
      <c r="V136" s="8" t="s">
        <v>46</v>
      </c>
      <c r="W136"/>
      <c r="X136"/>
    </row>
    <row r="137" spans="1:24" hidden="1" x14ac:dyDescent="0.3">
      <c r="A137" t="s">
        <v>446</v>
      </c>
      <c r="B137" t="s">
        <v>56</v>
      </c>
      <c r="C137">
        <v>50</v>
      </c>
      <c r="D137" t="s">
        <v>92</v>
      </c>
      <c r="E137" t="s">
        <v>93</v>
      </c>
      <c r="F137" t="s">
        <v>92</v>
      </c>
      <c r="G137" t="s">
        <v>51</v>
      </c>
      <c r="H137" s="8" t="s">
        <v>40</v>
      </c>
      <c r="I137" s="9">
        <v>76616.62</v>
      </c>
      <c r="J137" s="9">
        <v>8067.23</v>
      </c>
      <c r="K137" s="8" t="s">
        <v>68</v>
      </c>
      <c r="L137" s="10">
        <v>97955.7</v>
      </c>
      <c r="M137" s="8" t="s">
        <v>29</v>
      </c>
      <c r="N137" s="9">
        <v>82565.34</v>
      </c>
      <c r="O137" s="8" t="s">
        <v>228</v>
      </c>
      <c r="P137" t="str">
        <f>TEXT(Table1[[#This Row],[Transaction_Date]],"mmm")</f>
        <v>Apr</v>
      </c>
      <c r="Q137" s="11">
        <v>45771</v>
      </c>
      <c r="R137" s="8" t="s">
        <v>447</v>
      </c>
      <c r="S137" s="8" t="s">
        <v>54</v>
      </c>
      <c r="T137" s="9">
        <v>53111.040000000001</v>
      </c>
      <c r="U137" t="s">
        <v>71</v>
      </c>
      <c r="V137" s="8" t="s">
        <v>62</v>
      </c>
      <c r="W137"/>
      <c r="X137"/>
    </row>
    <row r="138" spans="1:24" hidden="1" x14ac:dyDescent="0.3">
      <c r="A138" t="s">
        <v>448</v>
      </c>
      <c r="B138" t="s">
        <v>243</v>
      </c>
      <c r="C138">
        <v>40</v>
      </c>
      <c r="D138" t="s">
        <v>57</v>
      </c>
      <c r="E138" t="s">
        <v>58</v>
      </c>
      <c r="F138" t="s">
        <v>57</v>
      </c>
      <c r="G138" t="s">
        <v>80</v>
      </c>
      <c r="H138" s="8" t="s">
        <v>40</v>
      </c>
      <c r="I138" s="9">
        <v>60307.24</v>
      </c>
      <c r="J138" s="9">
        <v>28373.67</v>
      </c>
      <c r="K138" s="8" t="s">
        <v>59</v>
      </c>
      <c r="L138" s="10">
        <v>88518.91</v>
      </c>
      <c r="M138" s="8" t="s">
        <v>29</v>
      </c>
      <c r="N138" s="9">
        <v>83038.06</v>
      </c>
      <c r="O138" s="8" t="s">
        <v>30</v>
      </c>
      <c r="P138" t="str">
        <f>TEXT(Table1[[#This Row],[Transaction_Date]],"mmm")</f>
        <v>Sep</v>
      </c>
      <c r="Q138" s="11">
        <v>45926</v>
      </c>
      <c r="R138" s="8" t="s">
        <v>449</v>
      </c>
      <c r="S138" s="8" t="s">
        <v>44</v>
      </c>
      <c r="T138" s="9">
        <v>2698.5</v>
      </c>
      <c r="U138" t="s">
        <v>45</v>
      </c>
      <c r="V138" s="8" t="s">
        <v>62</v>
      </c>
      <c r="W138"/>
      <c r="X138"/>
    </row>
    <row r="139" spans="1:24" hidden="1" x14ac:dyDescent="0.3">
      <c r="A139" t="s">
        <v>450</v>
      </c>
      <c r="B139" t="s">
        <v>123</v>
      </c>
      <c r="C139">
        <v>30</v>
      </c>
      <c r="D139" t="s">
        <v>92</v>
      </c>
      <c r="E139" t="s">
        <v>93</v>
      </c>
      <c r="F139" t="s">
        <v>92</v>
      </c>
      <c r="G139" t="s">
        <v>80</v>
      </c>
      <c r="H139" s="8" t="s">
        <v>40</v>
      </c>
      <c r="I139" s="9">
        <v>37281.82</v>
      </c>
      <c r="J139" s="9">
        <v>30383.35</v>
      </c>
      <c r="K139" s="8" t="s">
        <v>59</v>
      </c>
      <c r="L139" s="10">
        <v>93651.13</v>
      </c>
      <c r="M139" s="8" t="s">
        <v>42</v>
      </c>
      <c r="N139" s="9">
        <v>0</v>
      </c>
      <c r="O139" s="8" t="s">
        <v>30</v>
      </c>
      <c r="P139" t="str">
        <f>TEXT(Table1[[#This Row],[Transaction_Date]],"mmm")</f>
        <v>May</v>
      </c>
      <c r="Q139" s="11">
        <v>45791</v>
      </c>
      <c r="R139" s="8" t="s">
        <v>451</v>
      </c>
      <c r="S139" s="8" t="s">
        <v>70</v>
      </c>
      <c r="T139" s="9">
        <v>2200.2800000000002</v>
      </c>
      <c r="U139" t="s">
        <v>71</v>
      </c>
      <c r="V139" s="8" t="s">
        <v>62</v>
      </c>
      <c r="W139"/>
      <c r="X139"/>
    </row>
    <row r="140" spans="1:24" hidden="1" x14ac:dyDescent="0.3">
      <c r="A140" t="s">
        <v>452</v>
      </c>
      <c r="B140" t="s">
        <v>368</v>
      </c>
      <c r="C140">
        <v>18</v>
      </c>
      <c r="D140" t="s">
        <v>37</v>
      </c>
      <c r="E140" t="s">
        <v>38</v>
      </c>
      <c r="F140" t="s">
        <v>37</v>
      </c>
      <c r="G140" t="s">
        <v>26</v>
      </c>
      <c r="H140" s="8" t="s">
        <v>40</v>
      </c>
      <c r="I140" s="9">
        <v>58554.39</v>
      </c>
      <c r="J140" s="9">
        <v>6639.78</v>
      </c>
      <c r="K140" s="8" t="s">
        <v>74</v>
      </c>
      <c r="L140" s="10">
        <v>0</v>
      </c>
      <c r="M140" s="8" t="s">
        <v>75</v>
      </c>
      <c r="N140" s="9">
        <v>0</v>
      </c>
      <c r="O140" s="8" t="s">
        <v>30</v>
      </c>
      <c r="P140" t="str">
        <f>TEXT(Table1[[#This Row],[Transaction_Date]],"mmm")</f>
        <v>Jun</v>
      </c>
      <c r="Q140" s="11">
        <v>45813</v>
      </c>
      <c r="R140" s="8" t="s">
        <v>453</v>
      </c>
      <c r="S140" s="8" t="s">
        <v>32</v>
      </c>
      <c r="T140" s="9">
        <v>1643.19</v>
      </c>
      <c r="U140" t="s">
        <v>77</v>
      </c>
      <c r="V140" s="8" t="s">
        <v>62</v>
      </c>
      <c r="W140"/>
      <c r="X140"/>
    </row>
    <row r="141" spans="1:24" hidden="1" x14ac:dyDescent="0.3">
      <c r="A141" t="s">
        <v>454</v>
      </c>
      <c r="B141" t="s">
        <v>455</v>
      </c>
      <c r="C141">
        <v>33</v>
      </c>
      <c r="D141" t="s">
        <v>84</v>
      </c>
      <c r="E141" t="s">
        <v>85</v>
      </c>
      <c r="F141" t="s">
        <v>84</v>
      </c>
      <c r="G141" t="s">
        <v>80</v>
      </c>
      <c r="H141" s="8" t="s">
        <v>40</v>
      </c>
      <c r="I141" s="9">
        <v>66296.899999999994</v>
      </c>
      <c r="J141" s="9">
        <v>86335.58</v>
      </c>
      <c r="K141" s="8" t="s">
        <v>28</v>
      </c>
      <c r="L141" s="10">
        <v>82619.27</v>
      </c>
      <c r="M141" s="8" t="s">
        <v>29</v>
      </c>
      <c r="N141" s="9">
        <v>18451.919999999998</v>
      </c>
      <c r="O141" s="8" t="s">
        <v>30</v>
      </c>
      <c r="P141" t="str">
        <f>TEXT(Table1[[#This Row],[Transaction_Date]],"mmm")</f>
        <v>Mar</v>
      </c>
      <c r="Q141" s="11">
        <v>45723</v>
      </c>
      <c r="R141" s="8" t="s">
        <v>456</v>
      </c>
      <c r="S141" s="8" t="s">
        <v>44</v>
      </c>
      <c r="T141" s="9">
        <v>3932.69</v>
      </c>
      <c r="U141" t="s">
        <v>106</v>
      </c>
      <c r="V141" s="8" t="s">
        <v>62</v>
      </c>
      <c r="W141"/>
      <c r="X141"/>
    </row>
    <row r="142" spans="1:24" x14ac:dyDescent="0.3">
      <c r="A142" t="s">
        <v>457</v>
      </c>
      <c r="B142" t="s">
        <v>200</v>
      </c>
      <c r="C142">
        <v>48</v>
      </c>
      <c r="D142" t="s">
        <v>65</v>
      </c>
      <c r="E142" t="s">
        <v>66</v>
      </c>
      <c r="F142" t="s">
        <v>65</v>
      </c>
      <c r="G142" t="s">
        <v>39</v>
      </c>
      <c r="H142" s="8" t="s">
        <v>40</v>
      </c>
      <c r="I142" s="9">
        <v>77631.02</v>
      </c>
      <c r="J142" s="9">
        <v>17989.28</v>
      </c>
      <c r="K142" s="8" t="s">
        <v>59</v>
      </c>
      <c r="L142" s="10">
        <v>25000</v>
      </c>
      <c r="M142" s="8" t="s">
        <v>42</v>
      </c>
      <c r="N142" s="9">
        <v>0</v>
      </c>
      <c r="O142" s="8" t="s">
        <v>30</v>
      </c>
      <c r="P142" t="str">
        <f>TEXT(Table1[[#This Row],[Transaction_Date]],"mmm")</f>
        <v>Feb</v>
      </c>
      <c r="Q142" s="11">
        <v>45696</v>
      </c>
      <c r="R142" s="8" t="s">
        <v>458</v>
      </c>
      <c r="S142" s="8" t="s">
        <v>32</v>
      </c>
      <c r="T142" s="9">
        <v>4927.47</v>
      </c>
      <c r="U142" t="s">
        <v>106</v>
      </c>
      <c r="V142" s="8" t="s">
        <v>34</v>
      </c>
      <c r="W142"/>
      <c r="X142"/>
    </row>
    <row r="143" spans="1:24" x14ac:dyDescent="0.3">
      <c r="A143" t="s">
        <v>459</v>
      </c>
      <c r="B143" t="s">
        <v>460</v>
      </c>
      <c r="C143">
        <v>42</v>
      </c>
      <c r="D143" t="s">
        <v>57</v>
      </c>
      <c r="E143" t="s">
        <v>58</v>
      </c>
      <c r="F143" t="s">
        <v>57</v>
      </c>
      <c r="G143" t="s">
        <v>39</v>
      </c>
      <c r="H143" s="8" t="s">
        <v>40</v>
      </c>
      <c r="I143" s="9">
        <v>53008.27</v>
      </c>
      <c r="J143" s="9">
        <v>15862.89</v>
      </c>
      <c r="K143" s="8" t="s">
        <v>28</v>
      </c>
      <c r="L143" s="10">
        <v>76801.95</v>
      </c>
      <c r="M143" s="8" t="s">
        <v>29</v>
      </c>
      <c r="N143" s="9">
        <v>64802.13</v>
      </c>
      <c r="O143" s="8" t="s">
        <v>30</v>
      </c>
      <c r="P143" t="str">
        <f>TEXT(Table1[[#This Row],[Transaction_Date]],"mmm")</f>
        <v>Oct</v>
      </c>
      <c r="Q143" s="11">
        <v>45932</v>
      </c>
      <c r="R143" s="8" t="s">
        <v>461</v>
      </c>
      <c r="S143" s="8" t="s">
        <v>32</v>
      </c>
      <c r="T143" s="9">
        <v>2524.56</v>
      </c>
      <c r="U143" t="s">
        <v>106</v>
      </c>
      <c r="V143" s="8" t="s">
        <v>62</v>
      </c>
      <c r="W143"/>
      <c r="X143"/>
    </row>
    <row r="144" spans="1:24" hidden="1" x14ac:dyDescent="0.3">
      <c r="A144" t="s">
        <v>462</v>
      </c>
      <c r="B144" t="s">
        <v>341</v>
      </c>
      <c r="C144">
        <v>48</v>
      </c>
      <c r="D144" t="s">
        <v>57</v>
      </c>
      <c r="E144" t="s">
        <v>58</v>
      </c>
      <c r="F144" t="s">
        <v>57</v>
      </c>
      <c r="G144" t="s">
        <v>51</v>
      </c>
      <c r="H144" s="8" t="s">
        <v>40</v>
      </c>
      <c r="I144" s="9">
        <v>17595.490000000002</v>
      </c>
      <c r="J144" s="9">
        <v>15972.05</v>
      </c>
      <c r="K144" s="8" t="s">
        <v>68</v>
      </c>
      <c r="L144" s="10">
        <v>88985.37</v>
      </c>
      <c r="M144" s="8" t="s">
        <v>42</v>
      </c>
      <c r="N144" s="9">
        <v>0</v>
      </c>
      <c r="O144" s="8" t="s">
        <v>30</v>
      </c>
      <c r="P144" t="str">
        <f>TEXT(Table1[[#This Row],[Transaction_Date]],"mmm")</f>
        <v>Nov</v>
      </c>
      <c r="Q144" s="11">
        <v>45966</v>
      </c>
      <c r="R144" s="8" t="s">
        <v>463</v>
      </c>
      <c r="S144" s="8" t="s">
        <v>44</v>
      </c>
      <c r="T144" s="9">
        <v>7667.53</v>
      </c>
      <c r="U144" t="s">
        <v>71</v>
      </c>
      <c r="V144" s="8" t="s">
        <v>62</v>
      </c>
      <c r="W144"/>
      <c r="X144"/>
    </row>
    <row r="145" spans="1:24" hidden="1" x14ac:dyDescent="0.3">
      <c r="A145" t="s">
        <v>464</v>
      </c>
      <c r="B145" t="s">
        <v>393</v>
      </c>
      <c r="C145">
        <v>27</v>
      </c>
      <c r="D145" t="s">
        <v>57</v>
      </c>
      <c r="E145" t="s">
        <v>58</v>
      </c>
      <c r="F145" t="s">
        <v>57</v>
      </c>
      <c r="G145" t="s">
        <v>80</v>
      </c>
      <c r="H145" s="8" t="s">
        <v>27</v>
      </c>
      <c r="I145" s="9">
        <v>57523.63</v>
      </c>
      <c r="J145" s="9">
        <v>65572.100000000006</v>
      </c>
      <c r="K145" s="8" t="s">
        <v>28</v>
      </c>
      <c r="L145" s="10">
        <v>39395.94</v>
      </c>
      <c r="M145" s="8" t="s">
        <v>29</v>
      </c>
      <c r="N145" s="9">
        <v>31196.49</v>
      </c>
      <c r="O145" s="8" t="s">
        <v>30</v>
      </c>
      <c r="P145" t="str">
        <f>TEXT(Table1[[#This Row],[Transaction_Date]],"mmm")</f>
        <v>May</v>
      </c>
      <c r="Q145" s="11">
        <v>45806</v>
      </c>
      <c r="R145" s="8" t="s">
        <v>465</v>
      </c>
      <c r="S145" s="8" t="s">
        <v>54</v>
      </c>
      <c r="T145" s="9">
        <v>768.43</v>
      </c>
      <c r="U145" t="s">
        <v>45</v>
      </c>
      <c r="V145" s="8" t="s">
        <v>62</v>
      </c>
      <c r="W145"/>
      <c r="X145"/>
    </row>
    <row r="146" spans="1:24" hidden="1" x14ac:dyDescent="0.3">
      <c r="A146" t="s">
        <v>466</v>
      </c>
      <c r="B146" t="s">
        <v>56</v>
      </c>
      <c r="C146">
        <v>41</v>
      </c>
      <c r="D146" t="s">
        <v>84</v>
      </c>
      <c r="E146" t="s">
        <v>85</v>
      </c>
      <c r="F146" t="s">
        <v>84</v>
      </c>
      <c r="G146" t="s">
        <v>51</v>
      </c>
      <c r="H146" s="8" t="s">
        <v>27</v>
      </c>
      <c r="I146" s="9">
        <v>43605.919999999998</v>
      </c>
      <c r="J146" s="9">
        <v>40682.14</v>
      </c>
      <c r="K146" s="8" t="s">
        <v>59</v>
      </c>
      <c r="L146" s="10">
        <v>71738.75</v>
      </c>
      <c r="M146" s="8" t="s">
        <v>42</v>
      </c>
      <c r="N146" s="9">
        <v>0</v>
      </c>
      <c r="O146" s="8" t="s">
        <v>30</v>
      </c>
      <c r="P146" t="str">
        <f>TEXT(Table1[[#This Row],[Transaction_Date]],"mmm")</f>
        <v>Jun</v>
      </c>
      <c r="Q146" s="11">
        <v>45831</v>
      </c>
      <c r="R146" s="8" t="s">
        <v>467</v>
      </c>
      <c r="S146" s="8" t="s">
        <v>32</v>
      </c>
      <c r="T146" s="9">
        <v>5060.03</v>
      </c>
      <c r="U146" t="s">
        <v>45</v>
      </c>
      <c r="V146" s="8" t="s">
        <v>34</v>
      </c>
      <c r="W146"/>
      <c r="X146"/>
    </row>
    <row r="147" spans="1:24" hidden="1" x14ac:dyDescent="0.3">
      <c r="A147" t="s">
        <v>468</v>
      </c>
      <c r="B147" t="s">
        <v>469</v>
      </c>
      <c r="C147">
        <v>40</v>
      </c>
      <c r="D147" t="s">
        <v>49</v>
      </c>
      <c r="E147" t="s">
        <v>50</v>
      </c>
      <c r="F147" t="s">
        <v>49</v>
      </c>
      <c r="G147" t="s">
        <v>80</v>
      </c>
      <c r="H147" s="8" t="s">
        <v>51</v>
      </c>
      <c r="I147" s="9">
        <v>43942.81</v>
      </c>
      <c r="J147" s="9">
        <v>18211.52</v>
      </c>
      <c r="K147" s="8" t="s">
        <v>74</v>
      </c>
      <c r="L147" s="10">
        <v>0</v>
      </c>
      <c r="M147" s="8" t="s">
        <v>75</v>
      </c>
      <c r="N147" s="9">
        <v>0</v>
      </c>
      <c r="O147" s="8" t="s">
        <v>30</v>
      </c>
      <c r="P147" t="str">
        <f>TEXT(Table1[[#This Row],[Transaction_Date]],"mmm")</f>
        <v>Mar</v>
      </c>
      <c r="Q147" s="11">
        <v>45733</v>
      </c>
      <c r="R147" s="8" t="s">
        <v>470</v>
      </c>
      <c r="S147" s="8" t="s">
        <v>44</v>
      </c>
      <c r="T147" s="9">
        <v>4100.53</v>
      </c>
      <c r="U147" t="s">
        <v>77</v>
      </c>
      <c r="V147" s="8" t="s">
        <v>62</v>
      </c>
      <c r="W147"/>
      <c r="X147"/>
    </row>
    <row r="148" spans="1:24" x14ac:dyDescent="0.3">
      <c r="A148" t="s">
        <v>471</v>
      </c>
      <c r="B148" t="s">
        <v>472</v>
      </c>
      <c r="C148">
        <v>39</v>
      </c>
      <c r="D148" t="s">
        <v>57</v>
      </c>
      <c r="E148" t="s">
        <v>58</v>
      </c>
      <c r="F148" t="s">
        <v>57</v>
      </c>
      <c r="G148" t="s">
        <v>39</v>
      </c>
      <c r="H148" s="8" t="s">
        <v>40</v>
      </c>
      <c r="I148" s="9">
        <v>12000</v>
      </c>
      <c r="J148" s="9">
        <v>17125.59</v>
      </c>
      <c r="K148" s="8" t="s">
        <v>68</v>
      </c>
      <c r="L148" s="10">
        <v>50759.5</v>
      </c>
      <c r="M148" s="8" t="s">
        <v>29</v>
      </c>
      <c r="N148" s="9">
        <v>33404.07</v>
      </c>
      <c r="O148" s="8" t="s">
        <v>30</v>
      </c>
      <c r="P148" t="str">
        <f>TEXT(Table1[[#This Row],[Transaction_Date]],"mmm")</f>
        <v>Nov</v>
      </c>
      <c r="Q148" s="11">
        <v>45969</v>
      </c>
      <c r="R148" s="8" t="s">
        <v>473</v>
      </c>
      <c r="S148" s="8" t="s">
        <v>70</v>
      </c>
      <c r="T148" s="9">
        <v>376.96</v>
      </c>
      <c r="U148" t="s">
        <v>106</v>
      </c>
      <c r="V148" s="8" t="s">
        <v>62</v>
      </c>
      <c r="W148"/>
      <c r="X148"/>
    </row>
    <row r="149" spans="1:24" hidden="1" x14ac:dyDescent="0.3">
      <c r="A149" t="s">
        <v>474</v>
      </c>
      <c r="B149" t="s">
        <v>176</v>
      </c>
      <c r="C149">
        <v>34</v>
      </c>
      <c r="D149" t="s">
        <v>475</v>
      </c>
      <c r="E149" t="s">
        <v>58</v>
      </c>
      <c r="F149" t="s">
        <v>57</v>
      </c>
      <c r="G149" t="s">
        <v>26</v>
      </c>
      <c r="H149" s="8" t="s">
        <v>27</v>
      </c>
      <c r="I149" s="9">
        <v>42222.89</v>
      </c>
      <c r="J149" s="9">
        <v>13336.7</v>
      </c>
      <c r="K149" s="8" t="s">
        <v>28</v>
      </c>
      <c r="L149" s="10">
        <v>113582.51</v>
      </c>
      <c r="M149" s="8" t="s">
        <v>42</v>
      </c>
      <c r="N149" s="9">
        <v>0</v>
      </c>
      <c r="O149" s="8" t="s">
        <v>30</v>
      </c>
      <c r="P149" t="str">
        <f>TEXT(Table1[[#This Row],[Transaction_Date]],"mmm")</f>
        <v>Oct</v>
      </c>
      <c r="Q149" s="11">
        <v>45934</v>
      </c>
      <c r="R149" s="8" t="s">
        <v>476</v>
      </c>
      <c r="S149" s="8" t="s">
        <v>44</v>
      </c>
      <c r="T149" s="9">
        <v>7868.69</v>
      </c>
      <c r="U149" t="s">
        <v>106</v>
      </c>
      <c r="V149" s="8" t="s">
        <v>62</v>
      </c>
      <c r="W149"/>
      <c r="X149"/>
    </row>
    <row r="150" spans="1:24" hidden="1" x14ac:dyDescent="0.3">
      <c r="A150" t="s">
        <v>477</v>
      </c>
      <c r="B150" t="s">
        <v>478</v>
      </c>
      <c r="C150">
        <v>38</v>
      </c>
      <c r="D150" t="s">
        <v>65</v>
      </c>
      <c r="E150" t="s">
        <v>66</v>
      </c>
      <c r="F150" t="s">
        <v>65</v>
      </c>
      <c r="G150" t="s">
        <v>51</v>
      </c>
      <c r="H150" s="8" t="s">
        <v>40</v>
      </c>
      <c r="I150" s="9">
        <v>20149.009999999998</v>
      </c>
      <c r="J150" s="9">
        <v>5753.07</v>
      </c>
      <c r="K150" s="8" t="s">
        <v>28</v>
      </c>
      <c r="L150" s="10">
        <v>73155.679999999993</v>
      </c>
      <c r="M150" s="8" t="s">
        <v>29</v>
      </c>
      <c r="N150" s="9">
        <v>31605.41</v>
      </c>
      <c r="O150" s="8" t="s">
        <v>30</v>
      </c>
      <c r="P150" t="str">
        <f>TEXT(Table1[[#This Row],[Transaction_Date]],"mmm")</f>
        <v>Apr</v>
      </c>
      <c r="Q150" s="11">
        <v>45760</v>
      </c>
      <c r="R150" s="8" t="s">
        <v>479</v>
      </c>
      <c r="S150" s="8" t="s">
        <v>32</v>
      </c>
      <c r="T150" s="9">
        <v>3470.49</v>
      </c>
      <c r="U150" t="s">
        <v>77</v>
      </c>
      <c r="V150" s="8" t="s">
        <v>62</v>
      </c>
      <c r="W150"/>
      <c r="X150"/>
    </row>
    <row r="151" spans="1:24" hidden="1" x14ac:dyDescent="0.3">
      <c r="A151" t="s">
        <v>480</v>
      </c>
      <c r="B151" t="s">
        <v>237</v>
      </c>
      <c r="C151">
        <v>33</v>
      </c>
      <c r="D151" t="s">
        <v>49</v>
      </c>
      <c r="E151" t="s">
        <v>50</v>
      </c>
      <c r="F151" t="s">
        <v>49</v>
      </c>
      <c r="G151" t="s">
        <v>80</v>
      </c>
      <c r="H151" s="8" t="s">
        <v>51</v>
      </c>
      <c r="I151" s="9">
        <v>50355.13</v>
      </c>
      <c r="J151" s="9">
        <v>38585.19</v>
      </c>
      <c r="K151" s="8" t="s">
        <v>28</v>
      </c>
      <c r="L151" s="10">
        <v>28555.8</v>
      </c>
      <c r="M151" s="8" t="s">
        <v>29</v>
      </c>
      <c r="N151" s="9">
        <v>7231.92</v>
      </c>
      <c r="O151" s="8" t="s">
        <v>30</v>
      </c>
      <c r="P151" t="str">
        <f>TEXT(Table1[[#This Row],[Transaction_Date]],"mmm")</f>
        <v>May</v>
      </c>
      <c r="Q151" s="11">
        <v>45800</v>
      </c>
      <c r="R151" s="8" t="s">
        <v>481</v>
      </c>
      <c r="S151" s="8" t="s">
        <v>70</v>
      </c>
      <c r="T151" s="9">
        <v>17713.43</v>
      </c>
      <c r="U151" t="s">
        <v>45</v>
      </c>
      <c r="V151" s="8" t="s">
        <v>62</v>
      </c>
      <c r="W151"/>
      <c r="X151"/>
    </row>
    <row r="152" spans="1:24" hidden="1" x14ac:dyDescent="0.3">
      <c r="A152" t="s">
        <v>482</v>
      </c>
      <c r="B152" t="s">
        <v>483</v>
      </c>
      <c r="C152">
        <v>25</v>
      </c>
      <c r="D152" t="s">
        <v>37</v>
      </c>
      <c r="E152" t="s">
        <v>38</v>
      </c>
      <c r="F152" t="s">
        <v>37</v>
      </c>
      <c r="G152" t="s">
        <v>26</v>
      </c>
      <c r="H152" s="8" t="s">
        <v>51</v>
      </c>
      <c r="I152" s="9">
        <v>61316.73</v>
      </c>
      <c r="J152" s="9">
        <v>52182.86</v>
      </c>
      <c r="K152" s="8" t="s">
        <v>74</v>
      </c>
      <c r="L152" s="10">
        <v>0</v>
      </c>
      <c r="M152" s="8" t="s">
        <v>75</v>
      </c>
      <c r="N152" s="9">
        <v>0</v>
      </c>
      <c r="O152" s="8" t="s">
        <v>30</v>
      </c>
      <c r="P152" t="str">
        <f>TEXT(Table1[[#This Row],[Transaction_Date]],"mmm")</f>
        <v>Mar</v>
      </c>
      <c r="Q152" s="11">
        <v>45741</v>
      </c>
      <c r="R152" s="8" t="s">
        <v>484</v>
      </c>
      <c r="S152" s="8" t="s">
        <v>70</v>
      </c>
      <c r="T152" s="9">
        <v>3677.22</v>
      </c>
      <c r="U152" t="s">
        <v>33</v>
      </c>
      <c r="V152" s="8" t="s">
        <v>62</v>
      </c>
      <c r="W152"/>
      <c r="X152"/>
    </row>
    <row r="153" spans="1:24" hidden="1" x14ac:dyDescent="0.3">
      <c r="A153" t="s">
        <v>485</v>
      </c>
      <c r="B153" t="s">
        <v>328</v>
      </c>
      <c r="C153">
        <v>58</v>
      </c>
      <c r="D153" t="s">
        <v>37</v>
      </c>
      <c r="E153" t="s">
        <v>38</v>
      </c>
      <c r="F153" t="s">
        <v>37</v>
      </c>
      <c r="G153" t="s">
        <v>26</v>
      </c>
      <c r="H153" s="8" t="s">
        <v>27</v>
      </c>
      <c r="I153" s="9">
        <v>57042.59</v>
      </c>
      <c r="J153" s="9">
        <v>15693.79</v>
      </c>
      <c r="K153" s="8" t="s">
        <v>28</v>
      </c>
      <c r="L153" s="10">
        <v>67500.639999999999</v>
      </c>
      <c r="M153" s="8" t="s">
        <v>29</v>
      </c>
      <c r="N153" s="9">
        <v>50414.89</v>
      </c>
      <c r="O153" s="8" t="s">
        <v>30</v>
      </c>
      <c r="P153" t="str">
        <f>TEXT(Table1[[#This Row],[Transaction_Date]],"mmm")</f>
        <v>Oct</v>
      </c>
      <c r="Q153" s="11">
        <v>45941</v>
      </c>
      <c r="R153" s="8" t="s">
        <v>486</v>
      </c>
      <c r="S153" s="8" t="s">
        <v>44</v>
      </c>
      <c r="T153" s="9">
        <v>960.03</v>
      </c>
      <c r="U153" t="s">
        <v>71</v>
      </c>
      <c r="V153" s="8" t="s">
        <v>62</v>
      </c>
      <c r="W153"/>
      <c r="X153"/>
    </row>
    <row r="154" spans="1:24" hidden="1" x14ac:dyDescent="0.3">
      <c r="A154" t="s">
        <v>487</v>
      </c>
      <c r="B154" t="s">
        <v>297</v>
      </c>
      <c r="C154">
        <v>38</v>
      </c>
      <c r="D154" t="s">
        <v>49</v>
      </c>
      <c r="E154" t="s">
        <v>50</v>
      </c>
      <c r="F154" t="s">
        <v>49</v>
      </c>
      <c r="G154" t="s">
        <v>26</v>
      </c>
      <c r="H154" s="8" t="s">
        <v>27</v>
      </c>
      <c r="I154" s="9">
        <v>61351.26</v>
      </c>
      <c r="J154" s="9">
        <v>12784.74</v>
      </c>
      <c r="K154" s="8" t="s">
        <v>74</v>
      </c>
      <c r="L154" s="10">
        <v>0</v>
      </c>
      <c r="M154" s="8" t="s">
        <v>75</v>
      </c>
      <c r="N154" s="9">
        <v>0</v>
      </c>
      <c r="O154" s="8" t="s">
        <v>30</v>
      </c>
      <c r="P154" t="str">
        <f>TEXT(Table1[[#This Row],[Transaction_Date]],"mmm")</f>
        <v>Dec</v>
      </c>
      <c r="Q154" s="11">
        <v>45992</v>
      </c>
      <c r="R154" s="8" t="s">
        <v>488</v>
      </c>
      <c r="S154" s="8" t="s">
        <v>32</v>
      </c>
      <c r="T154" s="9">
        <v>2707.14</v>
      </c>
      <c r="U154" t="s">
        <v>33</v>
      </c>
      <c r="V154" s="8" t="s">
        <v>62</v>
      </c>
      <c r="W154"/>
      <c r="X154"/>
    </row>
    <row r="155" spans="1:24" x14ac:dyDescent="0.3">
      <c r="A155" t="s">
        <v>489</v>
      </c>
      <c r="B155" t="s">
        <v>182</v>
      </c>
      <c r="C155">
        <v>57</v>
      </c>
      <c r="D155" t="s">
        <v>97</v>
      </c>
      <c r="E155" t="s">
        <v>98</v>
      </c>
      <c r="F155" t="s">
        <v>97</v>
      </c>
      <c r="G155" t="s">
        <v>39</v>
      </c>
      <c r="H155" s="8" t="s">
        <v>27</v>
      </c>
      <c r="I155" s="9">
        <v>46107.23</v>
      </c>
      <c r="J155" s="9">
        <v>45417.53</v>
      </c>
      <c r="K155" s="8" t="s">
        <v>68</v>
      </c>
      <c r="L155" s="10">
        <v>65976.800000000003</v>
      </c>
      <c r="M155" s="8" t="s">
        <v>29</v>
      </c>
      <c r="N155" s="9">
        <v>60037.79</v>
      </c>
      <c r="O155" s="8" t="s">
        <v>30</v>
      </c>
      <c r="P155" t="str">
        <f>TEXT(Table1[[#This Row],[Transaction_Date]],"mmm")</f>
        <v>Jul</v>
      </c>
      <c r="Q155" s="11">
        <v>45859</v>
      </c>
      <c r="R155" s="8" t="s">
        <v>490</v>
      </c>
      <c r="S155" s="8" t="s">
        <v>70</v>
      </c>
      <c r="T155" s="9">
        <v>725.84</v>
      </c>
      <c r="U155" t="s">
        <v>77</v>
      </c>
      <c r="V155" s="8" t="s">
        <v>34</v>
      </c>
      <c r="W155"/>
      <c r="X155"/>
    </row>
    <row r="156" spans="1:24" hidden="1" x14ac:dyDescent="0.3">
      <c r="A156" t="s">
        <v>491</v>
      </c>
      <c r="B156" t="s">
        <v>111</v>
      </c>
      <c r="C156">
        <v>52</v>
      </c>
      <c r="D156" t="s">
        <v>97</v>
      </c>
      <c r="E156" t="s">
        <v>98</v>
      </c>
      <c r="F156" t="s">
        <v>97</v>
      </c>
      <c r="G156" t="s">
        <v>26</v>
      </c>
      <c r="H156" s="8" t="s">
        <v>27</v>
      </c>
      <c r="I156" s="9">
        <v>61163.55</v>
      </c>
      <c r="J156" s="9">
        <v>23834.17</v>
      </c>
      <c r="K156" s="8" t="s">
        <v>68</v>
      </c>
      <c r="L156" s="10">
        <v>32623.8</v>
      </c>
      <c r="M156" s="8" t="s">
        <v>29</v>
      </c>
      <c r="N156" s="9">
        <v>7198.52</v>
      </c>
      <c r="O156" s="8" t="s">
        <v>30</v>
      </c>
      <c r="P156" t="str">
        <f>TEXT(Table1[[#This Row],[Transaction_Date]],"mmm")</f>
        <v>Mar</v>
      </c>
      <c r="Q156" s="11">
        <v>45732</v>
      </c>
      <c r="R156" s="8" t="s">
        <v>492</v>
      </c>
      <c r="S156" s="8" t="s">
        <v>54</v>
      </c>
      <c r="T156" s="9">
        <v>6377.52</v>
      </c>
      <c r="U156" t="s">
        <v>45</v>
      </c>
      <c r="V156" s="8" t="s">
        <v>62</v>
      </c>
      <c r="W156"/>
      <c r="X156"/>
    </row>
    <row r="157" spans="1:24" hidden="1" x14ac:dyDescent="0.3">
      <c r="A157" t="s">
        <v>493</v>
      </c>
      <c r="B157" t="s">
        <v>494</v>
      </c>
      <c r="C157">
        <v>34</v>
      </c>
      <c r="D157" t="s">
        <v>65</v>
      </c>
      <c r="E157" t="s">
        <v>66</v>
      </c>
      <c r="F157" t="s">
        <v>65</v>
      </c>
      <c r="G157" t="s">
        <v>51</v>
      </c>
      <c r="H157" s="8" t="s">
        <v>40</v>
      </c>
      <c r="I157" s="9">
        <v>44554.98</v>
      </c>
      <c r="J157" s="9">
        <v>87458.33</v>
      </c>
      <c r="K157" s="8" t="s">
        <v>28</v>
      </c>
      <c r="L157" s="10">
        <v>25000</v>
      </c>
      <c r="M157" s="8" t="s">
        <v>29</v>
      </c>
      <c r="N157" s="9">
        <v>23653.59</v>
      </c>
      <c r="O157" s="8" t="s">
        <v>30</v>
      </c>
      <c r="P157" t="str">
        <f>TEXT(Table1[[#This Row],[Transaction_Date]],"mmm")</f>
        <v>Oct</v>
      </c>
      <c r="Q157" s="11">
        <v>45942</v>
      </c>
      <c r="R157" s="8" t="s">
        <v>495</v>
      </c>
      <c r="S157" s="8" t="s">
        <v>44</v>
      </c>
      <c r="T157" s="9">
        <v>2409.89</v>
      </c>
      <c r="U157" t="s">
        <v>71</v>
      </c>
      <c r="V157" s="8" t="s">
        <v>46</v>
      </c>
      <c r="W157"/>
      <c r="X157"/>
    </row>
    <row r="158" spans="1:24" hidden="1" x14ac:dyDescent="0.3">
      <c r="A158" t="s">
        <v>496</v>
      </c>
      <c r="B158" t="s">
        <v>497</v>
      </c>
      <c r="C158">
        <v>43</v>
      </c>
      <c r="D158" t="s">
        <v>92</v>
      </c>
      <c r="E158" t="s">
        <v>93</v>
      </c>
      <c r="F158" t="s">
        <v>92</v>
      </c>
      <c r="G158" t="s">
        <v>26</v>
      </c>
      <c r="H158" s="8" t="s">
        <v>40</v>
      </c>
      <c r="I158" s="9">
        <v>44203.01</v>
      </c>
      <c r="J158" s="9">
        <v>41158.47</v>
      </c>
      <c r="K158" s="8" t="s">
        <v>68</v>
      </c>
      <c r="L158" s="10">
        <v>132810.12</v>
      </c>
      <c r="M158" s="8" t="s">
        <v>29</v>
      </c>
      <c r="N158" s="9">
        <v>44209.59</v>
      </c>
      <c r="O158" s="8" t="s">
        <v>30</v>
      </c>
      <c r="P158" t="str">
        <f>TEXT(Table1[[#This Row],[Transaction_Date]],"mmm")</f>
        <v>Jan</v>
      </c>
      <c r="Q158" s="11">
        <v>45678</v>
      </c>
      <c r="R158" s="8" t="s">
        <v>498</v>
      </c>
      <c r="S158" s="8" t="s">
        <v>32</v>
      </c>
      <c r="T158" s="9">
        <v>1307.52</v>
      </c>
      <c r="U158" t="s">
        <v>45</v>
      </c>
      <c r="V158" s="8" t="s">
        <v>62</v>
      </c>
      <c r="W158"/>
      <c r="X158"/>
    </row>
    <row r="159" spans="1:24" hidden="1" x14ac:dyDescent="0.3">
      <c r="A159" t="s">
        <v>499</v>
      </c>
      <c r="B159" t="s">
        <v>500</v>
      </c>
      <c r="C159">
        <v>25</v>
      </c>
      <c r="D159" t="s">
        <v>37</v>
      </c>
      <c r="E159" t="s">
        <v>38</v>
      </c>
      <c r="F159" t="s">
        <v>37</v>
      </c>
      <c r="G159" t="s">
        <v>26</v>
      </c>
      <c r="H159" s="8" t="s">
        <v>40</v>
      </c>
      <c r="I159" s="9">
        <v>52390.6</v>
      </c>
      <c r="J159" s="9">
        <v>29477.94</v>
      </c>
      <c r="K159" s="8" t="s">
        <v>68</v>
      </c>
      <c r="L159" s="10">
        <v>113701.45</v>
      </c>
      <c r="M159" s="8" t="s">
        <v>29</v>
      </c>
      <c r="N159" s="9">
        <v>50525.21</v>
      </c>
      <c r="O159" s="8" t="s">
        <v>30</v>
      </c>
      <c r="P159" t="str">
        <f>TEXT(Table1[[#This Row],[Transaction_Date]],"mmm")</f>
        <v>Oct</v>
      </c>
      <c r="Q159" s="11">
        <v>45932</v>
      </c>
      <c r="R159" s="8" t="s">
        <v>501</v>
      </c>
      <c r="S159" s="8" t="s">
        <v>54</v>
      </c>
      <c r="T159" s="9">
        <v>2620.6</v>
      </c>
      <c r="U159" t="s">
        <v>71</v>
      </c>
      <c r="V159" s="8" t="s">
        <v>34</v>
      </c>
      <c r="W159"/>
      <c r="X159"/>
    </row>
    <row r="160" spans="1:24" hidden="1" x14ac:dyDescent="0.3">
      <c r="A160" t="s">
        <v>502</v>
      </c>
      <c r="B160" t="s">
        <v>276</v>
      </c>
      <c r="C160">
        <v>36</v>
      </c>
      <c r="D160" t="s">
        <v>65</v>
      </c>
      <c r="E160" t="s">
        <v>66</v>
      </c>
      <c r="F160" t="s">
        <v>65</v>
      </c>
      <c r="G160" t="s">
        <v>51</v>
      </c>
      <c r="H160" s="8" t="s">
        <v>40</v>
      </c>
      <c r="I160" s="9">
        <v>12000</v>
      </c>
      <c r="J160" s="9">
        <v>15128.19</v>
      </c>
      <c r="K160" s="8" t="s">
        <v>41</v>
      </c>
      <c r="L160" s="10">
        <v>35993.839999999997</v>
      </c>
      <c r="M160" s="8" t="s">
        <v>29</v>
      </c>
      <c r="N160" s="9">
        <v>19799.73</v>
      </c>
      <c r="O160" s="8" t="s">
        <v>30</v>
      </c>
      <c r="P160" t="str">
        <f>TEXT(Table1[[#This Row],[Transaction_Date]],"mmm")</f>
        <v>Mar</v>
      </c>
      <c r="Q160" s="11">
        <v>45727</v>
      </c>
      <c r="R160" s="8" t="s">
        <v>503</v>
      </c>
      <c r="S160" s="8" t="s">
        <v>54</v>
      </c>
      <c r="T160" s="9">
        <v>4501.41</v>
      </c>
      <c r="U160" t="s">
        <v>71</v>
      </c>
      <c r="V160" s="8" t="s">
        <v>62</v>
      </c>
      <c r="W160"/>
      <c r="X160"/>
    </row>
    <row r="161" spans="1:24" hidden="1" x14ac:dyDescent="0.3">
      <c r="A161" t="s">
        <v>504</v>
      </c>
      <c r="B161" t="s">
        <v>212</v>
      </c>
      <c r="C161">
        <v>37</v>
      </c>
      <c r="D161" t="s">
        <v>37</v>
      </c>
      <c r="E161" t="s">
        <v>38</v>
      </c>
      <c r="F161" t="s">
        <v>37</v>
      </c>
      <c r="G161" t="s">
        <v>26</v>
      </c>
      <c r="H161" s="8" t="s">
        <v>40</v>
      </c>
      <c r="I161" s="9">
        <v>41895.449999999997</v>
      </c>
      <c r="J161" s="9">
        <v>90510.54</v>
      </c>
      <c r="K161" s="8" t="s">
        <v>68</v>
      </c>
      <c r="L161" s="10">
        <v>167850.43</v>
      </c>
      <c r="M161" s="8" t="s">
        <v>29</v>
      </c>
      <c r="N161" s="9">
        <v>95547.87</v>
      </c>
      <c r="O161" s="8" t="s">
        <v>30</v>
      </c>
      <c r="P161" t="str">
        <f>TEXT(Table1[[#This Row],[Transaction_Date]],"mmm")</f>
        <v>Jun</v>
      </c>
      <c r="Q161" s="11">
        <v>45836</v>
      </c>
      <c r="R161" s="8" t="s">
        <v>505</v>
      </c>
      <c r="S161" s="8" t="s">
        <v>32</v>
      </c>
      <c r="T161" s="9">
        <v>231.3</v>
      </c>
      <c r="U161" t="s">
        <v>61</v>
      </c>
      <c r="V161" s="8" t="s">
        <v>62</v>
      </c>
      <c r="W161"/>
      <c r="X161"/>
    </row>
    <row r="162" spans="1:24" x14ac:dyDescent="0.3">
      <c r="A162" t="s">
        <v>506</v>
      </c>
      <c r="B162" t="s">
        <v>507</v>
      </c>
      <c r="C162">
        <v>18</v>
      </c>
      <c r="D162" t="s">
        <v>49</v>
      </c>
      <c r="E162" t="s">
        <v>50</v>
      </c>
      <c r="F162" t="s">
        <v>49</v>
      </c>
      <c r="G162" t="s">
        <v>39</v>
      </c>
      <c r="H162" s="8" t="s">
        <v>40</v>
      </c>
      <c r="I162" s="9">
        <v>76187.960000000006</v>
      </c>
      <c r="J162" s="9">
        <v>8040.79</v>
      </c>
      <c r="K162" s="8" t="s">
        <v>59</v>
      </c>
      <c r="L162" s="10">
        <v>33299.519999999997</v>
      </c>
      <c r="M162" s="8" t="s">
        <v>29</v>
      </c>
      <c r="N162" s="9">
        <v>7428.87</v>
      </c>
      <c r="O162" s="8" t="s">
        <v>228</v>
      </c>
      <c r="P162" t="str">
        <f>TEXT(Table1[[#This Row],[Transaction_Date]],"mmm")</f>
        <v>Jul</v>
      </c>
      <c r="Q162" s="11">
        <v>45846</v>
      </c>
      <c r="R162" s="8" t="s">
        <v>508</v>
      </c>
      <c r="S162" s="8" t="s">
        <v>32</v>
      </c>
      <c r="T162" s="9">
        <v>708.84</v>
      </c>
      <c r="U162" t="s">
        <v>106</v>
      </c>
      <c r="V162" s="8" t="s">
        <v>46</v>
      </c>
      <c r="W162"/>
      <c r="X162"/>
    </row>
    <row r="163" spans="1:24" hidden="1" x14ac:dyDescent="0.3">
      <c r="A163" t="s">
        <v>509</v>
      </c>
      <c r="B163" t="s">
        <v>510</v>
      </c>
      <c r="C163">
        <v>64</v>
      </c>
      <c r="D163" t="s">
        <v>84</v>
      </c>
      <c r="E163" t="s">
        <v>85</v>
      </c>
      <c r="F163" t="s">
        <v>84</v>
      </c>
      <c r="G163" t="s">
        <v>80</v>
      </c>
      <c r="H163" s="8" t="s">
        <v>51</v>
      </c>
      <c r="I163" s="9">
        <v>75968.75</v>
      </c>
      <c r="J163" s="9">
        <v>35173.79</v>
      </c>
      <c r="K163" s="8" t="s">
        <v>68</v>
      </c>
      <c r="L163" s="10">
        <v>87975.54</v>
      </c>
      <c r="M163" s="8" t="s">
        <v>29</v>
      </c>
      <c r="N163" s="9">
        <v>18539.650000000001</v>
      </c>
      <c r="O163" s="8" t="s">
        <v>30</v>
      </c>
      <c r="P163" t="str">
        <f>TEXT(Table1[[#This Row],[Transaction_Date]],"mmm")</f>
        <v>Jan</v>
      </c>
      <c r="Q163" s="11">
        <v>45682</v>
      </c>
      <c r="R163" s="8" t="s">
        <v>511</v>
      </c>
      <c r="S163" s="8" t="s">
        <v>70</v>
      </c>
      <c r="T163" s="9">
        <v>3570.94</v>
      </c>
      <c r="U163" t="s">
        <v>77</v>
      </c>
      <c r="V163" s="8" t="s">
        <v>62</v>
      </c>
      <c r="W163"/>
      <c r="X163"/>
    </row>
    <row r="164" spans="1:24" x14ac:dyDescent="0.3">
      <c r="A164" t="s">
        <v>512</v>
      </c>
      <c r="B164" t="s">
        <v>390</v>
      </c>
      <c r="C164">
        <v>39</v>
      </c>
      <c r="D164" t="s">
        <v>57</v>
      </c>
      <c r="E164" t="s">
        <v>58</v>
      </c>
      <c r="F164" t="s">
        <v>57</v>
      </c>
      <c r="G164" t="s">
        <v>39</v>
      </c>
      <c r="H164" s="8" t="s">
        <v>40</v>
      </c>
      <c r="I164" s="9">
        <v>14171.57</v>
      </c>
      <c r="J164" s="9">
        <v>35463.449999999997</v>
      </c>
      <c r="K164" s="8" t="s">
        <v>59</v>
      </c>
      <c r="L164" s="10">
        <v>136293.38</v>
      </c>
      <c r="M164" s="8" t="s">
        <v>29</v>
      </c>
      <c r="N164" s="9">
        <v>27881.07</v>
      </c>
      <c r="O164" s="8" t="s">
        <v>30</v>
      </c>
      <c r="P164" t="str">
        <f>TEXT(Table1[[#This Row],[Transaction_Date]],"mmm")</f>
        <v>Dec</v>
      </c>
      <c r="Q164" s="11">
        <v>46015</v>
      </c>
      <c r="R164" s="8" t="s">
        <v>513</v>
      </c>
      <c r="S164" s="8" t="s">
        <v>44</v>
      </c>
      <c r="T164" s="9">
        <v>17589.810000000001</v>
      </c>
      <c r="U164" t="s">
        <v>33</v>
      </c>
      <c r="V164" s="8" t="s">
        <v>62</v>
      </c>
      <c r="W164"/>
      <c r="X164"/>
    </row>
    <row r="165" spans="1:24" hidden="1" x14ac:dyDescent="0.3">
      <c r="A165" t="s">
        <v>514</v>
      </c>
      <c r="B165" t="s">
        <v>401</v>
      </c>
      <c r="C165">
        <v>36</v>
      </c>
      <c r="D165" t="s">
        <v>97</v>
      </c>
      <c r="E165" t="s">
        <v>98</v>
      </c>
      <c r="F165" t="s">
        <v>97</v>
      </c>
      <c r="G165" t="s">
        <v>80</v>
      </c>
      <c r="H165" s="8" t="s">
        <v>40</v>
      </c>
      <c r="I165" s="9">
        <v>38078.870000000003</v>
      </c>
      <c r="J165" s="9">
        <v>6672.39</v>
      </c>
      <c r="K165" s="8" t="s">
        <v>68</v>
      </c>
      <c r="L165" s="10">
        <v>29586.48</v>
      </c>
      <c r="M165" s="8" t="s">
        <v>42</v>
      </c>
      <c r="N165" s="9">
        <v>0</v>
      </c>
      <c r="O165" s="8" t="s">
        <v>30</v>
      </c>
      <c r="P165" t="str">
        <f>TEXT(Table1[[#This Row],[Transaction_Date]],"mmm")</f>
        <v>Apr</v>
      </c>
      <c r="Q165" s="11">
        <v>45777</v>
      </c>
      <c r="R165" s="8" t="s">
        <v>515</v>
      </c>
      <c r="S165" s="8" t="s">
        <v>44</v>
      </c>
      <c r="T165" s="9">
        <v>2030.93</v>
      </c>
      <c r="U165" t="s">
        <v>77</v>
      </c>
      <c r="V165" s="8" t="s">
        <v>62</v>
      </c>
      <c r="W165"/>
      <c r="X165"/>
    </row>
    <row r="166" spans="1:24" x14ac:dyDescent="0.3">
      <c r="A166" t="s">
        <v>516</v>
      </c>
      <c r="B166" t="s">
        <v>331</v>
      </c>
      <c r="C166">
        <v>45</v>
      </c>
      <c r="D166" t="s">
        <v>37</v>
      </c>
      <c r="E166" t="s">
        <v>38</v>
      </c>
      <c r="F166" t="s">
        <v>37</v>
      </c>
      <c r="G166" t="s">
        <v>39</v>
      </c>
      <c r="H166" s="8" t="s">
        <v>40</v>
      </c>
      <c r="I166" s="9">
        <v>62370.82</v>
      </c>
      <c r="J166" s="9">
        <v>12286.56</v>
      </c>
      <c r="K166" s="8" t="s">
        <v>28</v>
      </c>
      <c r="L166" s="10">
        <v>60232.85</v>
      </c>
      <c r="M166" s="8" t="s">
        <v>29</v>
      </c>
      <c r="N166" s="9">
        <v>38512.800000000003</v>
      </c>
      <c r="O166" s="8" t="s">
        <v>30</v>
      </c>
      <c r="P166" t="str">
        <f>TEXT(Table1[[#This Row],[Transaction_Date]],"mmm")</f>
        <v>Feb</v>
      </c>
      <c r="Q166" s="11">
        <v>45709</v>
      </c>
      <c r="R166" s="8" t="s">
        <v>517</v>
      </c>
      <c r="S166" s="8" t="s">
        <v>70</v>
      </c>
      <c r="T166" s="9">
        <v>8133.2</v>
      </c>
      <c r="U166" t="s">
        <v>71</v>
      </c>
      <c r="V166" s="8" t="s">
        <v>34</v>
      </c>
      <c r="W166"/>
      <c r="X166"/>
    </row>
    <row r="167" spans="1:24" hidden="1" x14ac:dyDescent="0.3">
      <c r="A167" t="s">
        <v>518</v>
      </c>
      <c r="B167" t="s">
        <v>469</v>
      </c>
      <c r="C167">
        <v>43</v>
      </c>
      <c r="D167" t="s">
        <v>65</v>
      </c>
      <c r="E167" t="s">
        <v>66</v>
      </c>
      <c r="F167" t="s">
        <v>65</v>
      </c>
      <c r="G167" t="s">
        <v>26</v>
      </c>
      <c r="H167" s="8" t="s">
        <v>51</v>
      </c>
      <c r="I167" s="9">
        <v>39699.68</v>
      </c>
      <c r="J167" s="9">
        <v>36474.769999999997</v>
      </c>
      <c r="K167" s="8" t="s">
        <v>74</v>
      </c>
      <c r="L167" s="10">
        <v>0</v>
      </c>
      <c r="M167" s="8" t="s">
        <v>75</v>
      </c>
      <c r="N167" s="9">
        <v>0</v>
      </c>
      <c r="O167" s="8" t="s">
        <v>30</v>
      </c>
      <c r="P167" t="str">
        <f>TEXT(Table1[[#This Row],[Transaction_Date]],"mmm")</f>
        <v>Oct</v>
      </c>
      <c r="Q167" s="11">
        <v>45947</v>
      </c>
      <c r="R167" s="8" t="s">
        <v>519</v>
      </c>
      <c r="S167" s="8" t="s">
        <v>54</v>
      </c>
      <c r="T167" s="9">
        <v>19802.650000000001</v>
      </c>
      <c r="U167" t="s">
        <v>77</v>
      </c>
      <c r="V167" s="8" t="s">
        <v>62</v>
      </c>
      <c r="W167"/>
      <c r="X167"/>
    </row>
    <row r="168" spans="1:24" hidden="1" x14ac:dyDescent="0.3">
      <c r="A168" t="s">
        <v>520</v>
      </c>
      <c r="B168" t="s">
        <v>521</v>
      </c>
      <c r="C168">
        <v>27</v>
      </c>
      <c r="D168" t="s">
        <v>92</v>
      </c>
      <c r="E168" t="s">
        <v>93</v>
      </c>
      <c r="F168" t="s">
        <v>92</v>
      </c>
      <c r="G168" t="s">
        <v>80</v>
      </c>
      <c r="H168" s="8" t="s">
        <v>40</v>
      </c>
      <c r="I168" s="9">
        <v>47786.32</v>
      </c>
      <c r="J168" s="9">
        <v>20517.43</v>
      </c>
      <c r="K168" s="8" t="s">
        <v>68</v>
      </c>
      <c r="L168" s="10">
        <v>67264.84</v>
      </c>
      <c r="M168" s="8" t="s">
        <v>42</v>
      </c>
      <c r="N168" s="9">
        <v>0</v>
      </c>
      <c r="O168" s="8" t="s">
        <v>30</v>
      </c>
      <c r="P168" t="str">
        <f>TEXT(Table1[[#This Row],[Transaction_Date]],"mmm")</f>
        <v>Nov</v>
      </c>
      <c r="Q168" s="11">
        <v>45982</v>
      </c>
      <c r="R168" s="8" t="s">
        <v>522</v>
      </c>
      <c r="S168" s="8" t="s">
        <v>32</v>
      </c>
      <c r="T168" s="9">
        <v>1761.42</v>
      </c>
      <c r="U168" t="s">
        <v>33</v>
      </c>
      <c r="V168" s="8" t="s">
        <v>62</v>
      </c>
      <c r="W168"/>
      <c r="X168"/>
    </row>
    <row r="169" spans="1:24" hidden="1" x14ac:dyDescent="0.3">
      <c r="A169" t="s">
        <v>523</v>
      </c>
      <c r="B169" t="s">
        <v>524</v>
      </c>
      <c r="C169">
        <v>39</v>
      </c>
      <c r="D169" t="s">
        <v>37</v>
      </c>
      <c r="E169" t="s">
        <v>38</v>
      </c>
      <c r="F169" t="s">
        <v>37</v>
      </c>
      <c r="G169" t="s">
        <v>51</v>
      </c>
      <c r="H169" s="8" t="s">
        <v>51</v>
      </c>
      <c r="I169" s="9">
        <v>71633.17</v>
      </c>
      <c r="J169" s="9">
        <v>20312.490000000002</v>
      </c>
      <c r="K169" s="8" t="s">
        <v>28</v>
      </c>
      <c r="L169" s="10">
        <v>57001.87</v>
      </c>
      <c r="M169" s="8" t="s">
        <v>29</v>
      </c>
      <c r="N169" s="9">
        <v>38449.69</v>
      </c>
      <c r="O169" s="8" t="s">
        <v>30</v>
      </c>
      <c r="P169" t="str">
        <f>TEXT(Table1[[#This Row],[Transaction_Date]],"mmm")</f>
        <v>Jun</v>
      </c>
      <c r="Q169" s="11">
        <v>45832</v>
      </c>
      <c r="R169" s="8" t="s">
        <v>525</v>
      </c>
      <c r="S169" s="8" t="s">
        <v>54</v>
      </c>
      <c r="T169" s="9">
        <v>30277.62</v>
      </c>
      <c r="U169" t="s">
        <v>77</v>
      </c>
      <c r="V169" s="8" t="s">
        <v>62</v>
      </c>
      <c r="W169"/>
      <c r="X169"/>
    </row>
    <row r="170" spans="1:24" x14ac:dyDescent="0.3">
      <c r="A170" t="s">
        <v>526</v>
      </c>
      <c r="B170" t="s">
        <v>527</v>
      </c>
      <c r="C170">
        <v>42</v>
      </c>
      <c r="D170" t="s">
        <v>49</v>
      </c>
      <c r="E170" t="s">
        <v>50</v>
      </c>
      <c r="F170" t="s">
        <v>49</v>
      </c>
      <c r="G170" t="s">
        <v>39</v>
      </c>
      <c r="H170" s="8" t="s">
        <v>67</v>
      </c>
      <c r="I170" s="9">
        <v>12361.58</v>
      </c>
      <c r="J170" s="9">
        <v>12795.11</v>
      </c>
      <c r="K170" s="8" t="s">
        <v>74</v>
      </c>
      <c r="L170" s="10">
        <v>0</v>
      </c>
      <c r="M170" s="8" t="s">
        <v>75</v>
      </c>
      <c r="N170" s="9">
        <v>0</v>
      </c>
      <c r="O170" s="8" t="s">
        <v>30</v>
      </c>
      <c r="P170" t="str">
        <f>TEXT(Table1[[#This Row],[Transaction_Date]],"mmm")</f>
        <v>Apr</v>
      </c>
      <c r="Q170" s="11">
        <v>45758</v>
      </c>
      <c r="R170" s="8" t="s">
        <v>528</v>
      </c>
      <c r="S170" s="8" t="s">
        <v>44</v>
      </c>
      <c r="T170" s="9">
        <v>3085.34</v>
      </c>
      <c r="U170" t="s">
        <v>77</v>
      </c>
      <c r="V170" s="8" t="s">
        <v>62</v>
      </c>
      <c r="W170"/>
      <c r="X170"/>
    </row>
    <row r="171" spans="1:24" x14ac:dyDescent="0.3">
      <c r="A171" t="s">
        <v>529</v>
      </c>
      <c r="B171" t="s">
        <v>530</v>
      </c>
      <c r="C171">
        <v>20</v>
      </c>
      <c r="D171" t="s">
        <v>49</v>
      </c>
      <c r="E171" t="s">
        <v>50</v>
      </c>
      <c r="F171" t="s">
        <v>49</v>
      </c>
      <c r="G171" t="s">
        <v>39</v>
      </c>
      <c r="H171" s="8" t="s">
        <v>40</v>
      </c>
      <c r="I171" s="9">
        <v>59838.18</v>
      </c>
      <c r="J171" s="9">
        <v>20587.47</v>
      </c>
      <c r="K171" s="8" t="s">
        <v>74</v>
      </c>
      <c r="L171" s="10">
        <v>0</v>
      </c>
      <c r="M171" s="8" t="s">
        <v>75</v>
      </c>
      <c r="N171" s="9">
        <v>0</v>
      </c>
      <c r="O171" s="8" t="s">
        <v>30</v>
      </c>
      <c r="P171" t="str">
        <f>TEXT(Table1[[#This Row],[Transaction_Date]],"mmm")</f>
        <v>Apr</v>
      </c>
      <c r="Q171" s="11">
        <v>45757</v>
      </c>
      <c r="R171" s="8" t="s">
        <v>531</v>
      </c>
      <c r="S171" s="8" t="s">
        <v>32</v>
      </c>
      <c r="T171" s="9">
        <v>554.04</v>
      </c>
      <c r="U171" t="s">
        <v>77</v>
      </c>
      <c r="V171" s="8" t="s">
        <v>34</v>
      </c>
      <c r="W171"/>
      <c r="X171"/>
    </row>
    <row r="172" spans="1:24" hidden="1" x14ac:dyDescent="0.3">
      <c r="A172" t="s">
        <v>532</v>
      </c>
      <c r="B172" t="s">
        <v>533</v>
      </c>
      <c r="C172">
        <v>50</v>
      </c>
      <c r="D172" t="s">
        <v>65</v>
      </c>
      <c r="E172" t="s">
        <v>66</v>
      </c>
      <c r="F172" t="s">
        <v>65</v>
      </c>
      <c r="G172" t="s">
        <v>80</v>
      </c>
      <c r="H172" s="8" t="s">
        <v>40</v>
      </c>
      <c r="I172" s="9">
        <v>69803.5</v>
      </c>
      <c r="J172" s="9">
        <v>22911.37</v>
      </c>
      <c r="K172" s="8" t="s">
        <v>59</v>
      </c>
      <c r="L172" s="10">
        <v>52927.99</v>
      </c>
      <c r="M172" s="8" t="s">
        <v>29</v>
      </c>
      <c r="N172" s="9">
        <v>39845.379999999997</v>
      </c>
      <c r="O172" s="8" t="s">
        <v>228</v>
      </c>
      <c r="P172" t="str">
        <f>TEXT(Table1[[#This Row],[Transaction_Date]],"mmm")</f>
        <v>May</v>
      </c>
      <c r="Q172" s="11">
        <v>45806</v>
      </c>
      <c r="R172" s="8" t="s">
        <v>534</v>
      </c>
      <c r="S172" s="8" t="s">
        <v>70</v>
      </c>
      <c r="T172" s="9">
        <v>35143.81</v>
      </c>
      <c r="U172" t="s">
        <v>61</v>
      </c>
      <c r="V172" s="8" t="s">
        <v>62</v>
      </c>
      <c r="W172"/>
      <c r="X172"/>
    </row>
    <row r="173" spans="1:24" hidden="1" x14ac:dyDescent="0.3">
      <c r="A173" t="s">
        <v>535</v>
      </c>
      <c r="B173" t="s">
        <v>346</v>
      </c>
      <c r="C173">
        <v>26</v>
      </c>
      <c r="D173" t="s">
        <v>65</v>
      </c>
      <c r="E173" t="s">
        <v>66</v>
      </c>
      <c r="F173" t="s">
        <v>65</v>
      </c>
      <c r="G173" t="s">
        <v>80</v>
      </c>
      <c r="H173" s="8" t="s">
        <v>27</v>
      </c>
      <c r="I173" s="9">
        <v>30056.06</v>
      </c>
      <c r="J173" s="9">
        <v>7184.96</v>
      </c>
      <c r="K173" s="8" t="s">
        <v>68</v>
      </c>
      <c r="L173" s="10">
        <v>50841.75</v>
      </c>
      <c r="M173" s="8" t="s">
        <v>29</v>
      </c>
      <c r="N173" s="9">
        <v>30413.7</v>
      </c>
      <c r="O173" s="8" t="s">
        <v>30</v>
      </c>
      <c r="P173" t="str">
        <f>TEXT(Table1[[#This Row],[Transaction_Date]],"mmm")</f>
        <v>Jan</v>
      </c>
      <c r="Q173" s="11">
        <v>45681</v>
      </c>
      <c r="R173" s="8" t="s">
        <v>536</v>
      </c>
      <c r="S173" s="8" t="s">
        <v>70</v>
      </c>
      <c r="T173" s="9">
        <v>212.98</v>
      </c>
      <c r="U173" t="s">
        <v>71</v>
      </c>
      <c r="V173" s="8" t="s">
        <v>62</v>
      </c>
      <c r="W173"/>
      <c r="X173"/>
    </row>
    <row r="174" spans="1:24" hidden="1" x14ac:dyDescent="0.3">
      <c r="A174" t="s">
        <v>537</v>
      </c>
      <c r="B174" t="s">
        <v>497</v>
      </c>
      <c r="C174">
        <v>23</v>
      </c>
      <c r="D174" t="s">
        <v>97</v>
      </c>
      <c r="E174" t="s">
        <v>98</v>
      </c>
      <c r="F174" t="s">
        <v>97</v>
      </c>
      <c r="G174" t="s">
        <v>80</v>
      </c>
      <c r="H174" s="8" t="s">
        <v>27</v>
      </c>
      <c r="I174" s="9">
        <v>60096.26</v>
      </c>
      <c r="J174" s="9">
        <v>59364.84</v>
      </c>
      <c r="K174" s="8" t="s">
        <v>59</v>
      </c>
      <c r="L174" s="10">
        <v>136404.74</v>
      </c>
      <c r="M174" s="8" t="s">
        <v>29</v>
      </c>
      <c r="N174" s="9">
        <v>66420.28</v>
      </c>
      <c r="O174" s="8" t="s">
        <v>30</v>
      </c>
      <c r="P174" t="str">
        <f>TEXT(Table1[[#This Row],[Transaction_Date]],"mmm")</f>
        <v>May</v>
      </c>
      <c r="Q174" s="11">
        <v>45791</v>
      </c>
      <c r="R174" s="8" t="s">
        <v>538</v>
      </c>
      <c r="S174" s="8" t="s">
        <v>44</v>
      </c>
      <c r="T174" s="9">
        <v>803.01</v>
      </c>
      <c r="U174" t="s">
        <v>77</v>
      </c>
      <c r="V174" s="8" t="s">
        <v>34</v>
      </c>
      <c r="W174"/>
      <c r="X174"/>
    </row>
    <row r="175" spans="1:24" hidden="1" x14ac:dyDescent="0.3">
      <c r="A175" t="s">
        <v>539</v>
      </c>
      <c r="B175" t="s">
        <v>418</v>
      </c>
      <c r="C175">
        <v>22</v>
      </c>
      <c r="D175" t="s">
        <v>65</v>
      </c>
      <c r="E175" t="s">
        <v>66</v>
      </c>
      <c r="F175" t="s">
        <v>65</v>
      </c>
      <c r="G175" t="s">
        <v>26</v>
      </c>
      <c r="H175" s="8" t="s">
        <v>51</v>
      </c>
      <c r="I175" s="9">
        <v>69893.259999999995</v>
      </c>
      <c r="J175" s="9">
        <v>41613.33</v>
      </c>
      <c r="K175" s="8" t="s">
        <v>41</v>
      </c>
      <c r="L175" s="10">
        <v>25000</v>
      </c>
      <c r="M175" s="8" t="s">
        <v>29</v>
      </c>
      <c r="N175" s="9">
        <v>6231.78</v>
      </c>
      <c r="O175" s="8" t="s">
        <v>30</v>
      </c>
      <c r="P175" t="str">
        <f>TEXT(Table1[[#This Row],[Transaction_Date]],"mmm")</f>
        <v>Apr</v>
      </c>
      <c r="Q175" s="11">
        <v>45755</v>
      </c>
      <c r="R175" s="8" t="s">
        <v>540</v>
      </c>
      <c r="S175" s="8" t="s">
        <v>70</v>
      </c>
      <c r="T175" s="9">
        <v>1168.77</v>
      </c>
      <c r="U175" t="s">
        <v>71</v>
      </c>
      <c r="V175" s="8" t="s">
        <v>62</v>
      </c>
      <c r="W175"/>
      <c r="X175"/>
    </row>
    <row r="176" spans="1:24" hidden="1" x14ac:dyDescent="0.3">
      <c r="A176" t="s">
        <v>541</v>
      </c>
      <c r="B176" t="s">
        <v>542</v>
      </c>
      <c r="C176">
        <v>39</v>
      </c>
      <c r="D176" t="s">
        <v>49</v>
      </c>
      <c r="E176" t="s">
        <v>50</v>
      </c>
      <c r="F176" t="s">
        <v>49</v>
      </c>
      <c r="G176" t="s">
        <v>26</v>
      </c>
      <c r="H176" s="8" t="s">
        <v>40</v>
      </c>
      <c r="I176" s="9">
        <v>27276.38</v>
      </c>
      <c r="J176" s="9">
        <v>24843.25</v>
      </c>
      <c r="K176" s="8" t="s">
        <v>52</v>
      </c>
      <c r="L176" s="10">
        <v>37711.82</v>
      </c>
      <c r="M176" s="8" t="s">
        <v>29</v>
      </c>
      <c r="N176" s="9">
        <v>11524.82</v>
      </c>
      <c r="O176" s="8" t="s">
        <v>30</v>
      </c>
      <c r="P176" t="str">
        <f>TEXT(Table1[[#This Row],[Transaction_Date]],"mmm")</f>
        <v>Oct</v>
      </c>
      <c r="Q176" s="11">
        <v>45958</v>
      </c>
      <c r="R176" s="8" t="s">
        <v>543</v>
      </c>
      <c r="S176" s="8" t="s">
        <v>54</v>
      </c>
      <c r="T176" s="9">
        <v>4263.53</v>
      </c>
      <c r="U176" t="s">
        <v>45</v>
      </c>
      <c r="V176" s="8" t="s">
        <v>62</v>
      </c>
      <c r="W176"/>
      <c r="X176"/>
    </row>
    <row r="177" spans="1:24" hidden="1" x14ac:dyDescent="0.3">
      <c r="A177" t="s">
        <v>544</v>
      </c>
      <c r="B177" t="s">
        <v>545</v>
      </c>
      <c r="C177">
        <v>42</v>
      </c>
      <c r="D177" t="s">
        <v>57</v>
      </c>
      <c r="E177" t="s">
        <v>58</v>
      </c>
      <c r="F177" t="s">
        <v>57</v>
      </c>
      <c r="G177" t="s">
        <v>51</v>
      </c>
      <c r="H177" s="8" t="s">
        <v>27</v>
      </c>
      <c r="I177" s="9">
        <v>53329.08</v>
      </c>
      <c r="J177" s="9">
        <v>53630.2</v>
      </c>
      <c r="K177" s="8" t="s">
        <v>68</v>
      </c>
      <c r="L177" s="10">
        <v>47104.05</v>
      </c>
      <c r="M177" s="8" t="s">
        <v>29</v>
      </c>
      <c r="N177" s="9">
        <v>9697.84</v>
      </c>
      <c r="O177" s="8" t="s">
        <v>30</v>
      </c>
      <c r="P177" t="str">
        <f>TEXT(Table1[[#This Row],[Transaction_Date]],"mmm")</f>
        <v>Sep</v>
      </c>
      <c r="Q177" s="11">
        <v>45905</v>
      </c>
      <c r="R177" s="8" t="s">
        <v>546</v>
      </c>
      <c r="S177" s="8" t="s">
        <v>54</v>
      </c>
      <c r="T177" s="9">
        <v>4857.26</v>
      </c>
      <c r="U177" t="s">
        <v>45</v>
      </c>
      <c r="V177" s="8" t="s">
        <v>62</v>
      </c>
      <c r="W177"/>
      <c r="X177"/>
    </row>
    <row r="178" spans="1:24" x14ac:dyDescent="0.3">
      <c r="A178" t="s">
        <v>547</v>
      </c>
      <c r="B178" t="s">
        <v>548</v>
      </c>
      <c r="C178">
        <v>38</v>
      </c>
      <c r="D178" t="s">
        <v>57</v>
      </c>
      <c r="E178" t="s">
        <v>58</v>
      </c>
      <c r="F178" t="s">
        <v>57</v>
      </c>
      <c r="G178" t="s">
        <v>39</v>
      </c>
      <c r="H178" s="8" t="s">
        <v>51</v>
      </c>
      <c r="I178" s="9">
        <v>61198.17</v>
      </c>
      <c r="J178" s="9">
        <v>6627.25</v>
      </c>
      <c r="K178" s="8" t="s">
        <v>74</v>
      </c>
      <c r="L178" s="10">
        <v>0</v>
      </c>
      <c r="M178" s="8" t="s">
        <v>75</v>
      </c>
      <c r="N178" s="9">
        <v>0</v>
      </c>
      <c r="O178" s="8" t="s">
        <v>30</v>
      </c>
      <c r="P178" t="str">
        <f>TEXT(Table1[[#This Row],[Transaction_Date]],"mmm")</f>
        <v>Oct</v>
      </c>
      <c r="Q178" s="11">
        <v>45959</v>
      </c>
      <c r="R178" s="8" t="s">
        <v>549</v>
      </c>
      <c r="S178" s="8" t="s">
        <v>44</v>
      </c>
      <c r="T178" s="9">
        <v>12874.18</v>
      </c>
      <c r="U178" t="s">
        <v>61</v>
      </c>
      <c r="V178" s="8" t="s">
        <v>62</v>
      </c>
      <c r="W178"/>
      <c r="X178"/>
    </row>
    <row r="179" spans="1:24" hidden="1" x14ac:dyDescent="0.3">
      <c r="A179" t="s">
        <v>550</v>
      </c>
      <c r="B179" t="s">
        <v>424</v>
      </c>
      <c r="C179">
        <v>41</v>
      </c>
      <c r="D179" t="s">
        <v>92</v>
      </c>
      <c r="E179" t="s">
        <v>93</v>
      </c>
      <c r="F179" t="s">
        <v>92</v>
      </c>
      <c r="G179" t="s">
        <v>51</v>
      </c>
      <c r="H179" s="8" t="s">
        <v>40</v>
      </c>
      <c r="I179" s="9">
        <v>56055.15</v>
      </c>
      <c r="J179" s="9">
        <v>42208.36</v>
      </c>
      <c r="K179" s="8" t="s">
        <v>74</v>
      </c>
      <c r="L179" s="10">
        <v>0</v>
      </c>
      <c r="M179" s="8" t="s">
        <v>75</v>
      </c>
      <c r="N179" s="9">
        <v>0</v>
      </c>
      <c r="O179" s="8" t="s">
        <v>30</v>
      </c>
      <c r="P179" t="str">
        <f>TEXT(Table1[[#This Row],[Transaction_Date]],"mmm")</f>
        <v>May</v>
      </c>
      <c r="Q179" s="11">
        <v>45796</v>
      </c>
      <c r="R179" s="8" t="s">
        <v>551</v>
      </c>
      <c r="S179" s="8" t="s">
        <v>44</v>
      </c>
      <c r="T179" s="9">
        <v>3738.66</v>
      </c>
      <c r="U179" t="s">
        <v>106</v>
      </c>
      <c r="V179" s="8" t="s">
        <v>34</v>
      </c>
      <c r="W179"/>
      <c r="X179"/>
    </row>
    <row r="180" spans="1:24" hidden="1" x14ac:dyDescent="0.3">
      <c r="A180" t="s">
        <v>552</v>
      </c>
      <c r="B180" t="s">
        <v>553</v>
      </c>
      <c r="C180">
        <v>44</v>
      </c>
      <c r="D180" t="s">
        <v>37</v>
      </c>
      <c r="E180" t="s">
        <v>38</v>
      </c>
      <c r="F180" t="s">
        <v>37</v>
      </c>
      <c r="G180" t="s">
        <v>80</v>
      </c>
      <c r="H180" s="8" t="s">
        <v>40</v>
      </c>
      <c r="I180" s="9">
        <v>53132.42</v>
      </c>
      <c r="J180" s="9">
        <v>44690.239999999998</v>
      </c>
      <c r="K180" s="8" t="s">
        <v>52</v>
      </c>
      <c r="L180" s="10">
        <v>25000</v>
      </c>
      <c r="M180" s="8" t="s">
        <v>29</v>
      </c>
      <c r="N180" s="9">
        <v>9637.6299999999992</v>
      </c>
      <c r="O180" s="8" t="s">
        <v>30</v>
      </c>
      <c r="P180" t="str">
        <f>TEXT(Table1[[#This Row],[Transaction_Date]],"mmm")</f>
        <v>Feb</v>
      </c>
      <c r="Q180" s="11">
        <v>45696</v>
      </c>
      <c r="R180" s="8" t="s">
        <v>554</v>
      </c>
      <c r="S180" s="8" t="s">
        <v>32</v>
      </c>
      <c r="T180" s="9">
        <v>2833.7</v>
      </c>
      <c r="U180" t="s">
        <v>71</v>
      </c>
      <c r="V180" s="8" t="s">
        <v>46</v>
      </c>
      <c r="W180"/>
      <c r="X180"/>
    </row>
    <row r="181" spans="1:24" hidden="1" x14ac:dyDescent="0.3">
      <c r="A181" t="s">
        <v>555</v>
      </c>
      <c r="B181" t="s">
        <v>556</v>
      </c>
      <c r="C181">
        <v>50</v>
      </c>
      <c r="D181" t="s">
        <v>24</v>
      </c>
      <c r="E181" t="s">
        <v>25</v>
      </c>
      <c r="F181" t="s">
        <v>24</v>
      </c>
      <c r="G181" t="s">
        <v>26</v>
      </c>
      <c r="H181" s="8" t="s">
        <v>40</v>
      </c>
      <c r="I181" s="9">
        <v>31147.79</v>
      </c>
      <c r="J181" s="9">
        <v>13953.18</v>
      </c>
      <c r="K181" s="8" t="s">
        <v>41</v>
      </c>
      <c r="L181" s="10">
        <v>85150.78</v>
      </c>
      <c r="M181" s="8" t="s">
        <v>29</v>
      </c>
      <c r="N181" s="9">
        <v>44408.39</v>
      </c>
      <c r="O181" s="8" t="s">
        <v>30</v>
      </c>
      <c r="P181" t="str">
        <f>TEXT(Table1[[#This Row],[Transaction_Date]],"mmm")</f>
        <v>Dec</v>
      </c>
      <c r="Q181" s="11">
        <v>46021</v>
      </c>
      <c r="R181" s="8" t="s">
        <v>557</v>
      </c>
      <c r="S181" s="8" t="s">
        <v>70</v>
      </c>
      <c r="T181" s="9">
        <v>6088.17</v>
      </c>
      <c r="U181" t="s">
        <v>77</v>
      </c>
      <c r="V181" s="8" t="s">
        <v>34</v>
      </c>
      <c r="W181"/>
      <c r="X181"/>
    </row>
    <row r="182" spans="1:24" x14ac:dyDescent="0.3">
      <c r="A182" t="s">
        <v>558</v>
      </c>
      <c r="B182" t="s">
        <v>393</v>
      </c>
      <c r="C182">
        <v>46</v>
      </c>
      <c r="D182" t="s">
        <v>65</v>
      </c>
      <c r="E182" t="s">
        <v>66</v>
      </c>
      <c r="F182" t="s">
        <v>65</v>
      </c>
      <c r="G182" t="s">
        <v>39</v>
      </c>
      <c r="H182" s="8" t="s">
        <v>67</v>
      </c>
      <c r="I182" s="9">
        <v>12000</v>
      </c>
      <c r="J182" s="9">
        <v>21057.68</v>
      </c>
      <c r="K182" s="8" t="s">
        <v>28</v>
      </c>
      <c r="L182" s="10">
        <v>71786.539999999994</v>
      </c>
      <c r="M182" s="8" t="s">
        <v>29</v>
      </c>
      <c r="N182" s="9">
        <v>17464.03</v>
      </c>
      <c r="O182" s="8" t="s">
        <v>30</v>
      </c>
      <c r="P182" t="str">
        <f>TEXT(Table1[[#This Row],[Transaction_Date]],"mmm")</f>
        <v>Dec</v>
      </c>
      <c r="Q182" s="11">
        <v>46003</v>
      </c>
      <c r="R182" s="8" t="s">
        <v>559</v>
      </c>
      <c r="S182" s="8" t="s">
        <v>44</v>
      </c>
      <c r="T182" s="9">
        <v>1352.91</v>
      </c>
      <c r="U182" t="s">
        <v>45</v>
      </c>
      <c r="V182" s="8" t="s">
        <v>62</v>
      </c>
      <c r="W182"/>
      <c r="X182"/>
    </row>
    <row r="183" spans="1:24" x14ac:dyDescent="0.3">
      <c r="A183" t="s">
        <v>560</v>
      </c>
      <c r="B183" t="s">
        <v>149</v>
      </c>
      <c r="C183">
        <v>47</v>
      </c>
      <c r="D183" t="s">
        <v>92</v>
      </c>
      <c r="E183" t="s">
        <v>93</v>
      </c>
      <c r="F183" t="s">
        <v>92</v>
      </c>
      <c r="G183" t="s">
        <v>39</v>
      </c>
      <c r="H183" s="8" t="s">
        <v>51</v>
      </c>
      <c r="I183" s="9">
        <v>69465.539999999994</v>
      </c>
      <c r="J183" s="9">
        <v>35944.51</v>
      </c>
      <c r="K183" s="8" t="s">
        <v>74</v>
      </c>
      <c r="L183" s="10">
        <v>0</v>
      </c>
      <c r="M183" s="8" t="s">
        <v>75</v>
      </c>
      <c r="N183" s="9">
        <v>0</v>
      </c>
      <c r="O183" s="8" t="s">
        <v>30</v>
      </c>
      <c r="P183" t="str">
        <f>TEXT(Table1[[#This Row],[Transaction_Date]],"mmm")</f>
        <v>Jul</v>
      </c>
      <c r="Q183" s="11">
        <v>45850</v>
      </c>
      <c r="R183" s="8" t="s">
        <v>561</v>
      </c>
      <c r="S183" s="8" t="s">
        <v>54</v>
      </c>
      <c r="T183" s="9">
        <v>2777.87</v>
      </c>
      <c r="U183" t="s">
        <v>45</v>
      </c>
      <c r="V183" s="8" t="s">
        <v>62</v>
      </c>
      <c r="W183"/>
      <c r="X183"/>
    </row>
    <row r="184" spans="1:24" x14ac:dyDescent="0.3">
      <c r="A184" t="s">
        <v>562</v>
      </c>
      <c r="B184" t="s">
        <v>563</v>
      </c>
      <c r="C184">
        <v>46</v>
      </c>
      <c r="D184" t="s">
        <v>37</v>
      </c>
      <c r="E184" t="s">
        <v>38</v>
      </c>
      <c r="F184" t="s">
        <v>37</v>
      </c>
      <c r="G184" t="s">
        <v>39</v>
      </c>
      <c r="H184" s="8" t="s">
        <v>40</v>
      </c>
      <c r="I184" s="9">
        <v>48607.35</v>
      </c>
      <c r="J184" s="9">
        <v>45406.89</v>
      </c>
      <c r="K184" s="8" t="s">
        <v>68</v>
      </c>
      <c r="L184" s="10">
        <v>172523.4</v>
      </c>
      <c r="M184" s="8" t="s">
        <v>29</v>
      </c>
      <c r="N184" s="9">
        <v>98882.63</v>
      </c>
      <c r="O184" s="8" t="s">
        <v>30</v>
      </c>
      <c r="P184" t="str">
        <f>TEXT(Table1[[#This Row],[Transaction_Date]],"mmm")</f>
        <v>Aug</v>
      </c>
      <c r="Q184" s="11">
        <v>45878</v>
      </c>
      <c r="R184" s="8" t="s">
        <v>564</v>
      </c>
      <c r="S184" s="8" t="s">
        <v>54</v>
      </c>
      <c r="T184" s="9">
        <v>2782.37</v>
      </c>
      <c r="U184" t="s">
        <v>106</v>
      </c>
      <c r="V184" s="8" t="s">
        <v>62</v>
      </c>
      <c r="W184"/>
      <c r="X184"/>
    </row>
    <row r="185" spans="1:24" hidden="1" x14ac:dyDescent="0.3">
      <c r="A185" t="s">
        <v>565</v>
      </c>
      <c r="B185" t="s">
        <v>460</v>
      </c>
      <c r="C185">
        <v>21</v>
      </c>
      <c r="D185" t="s">
        <v>84</v>
      </c>
      <c r="E185" t="s">
        <v>85</v>
      </c>
      <c r="F185" t="s">
        <v>84</v>
      </c>
      <c r="G185" t="s">
        <v>51</v>
      </c>
      <c r="H185" s="8" t="s">
        <v>40</v>
      </c>
      <c r="I185" s="9">
        <v>64608.25</v>
      </c>
      <c r="J185" s="9">
        <v>73726.62</v>
      </c>
      <c r="K185" s="8" t="s">
        <v>28</v>
      </c>
      <c r="L185" s="10">
        <v>81082.39</v>
      </c>
      <c r="M185" s="8" t="s">
        <v>29</v>
      </c>
      <c r="N185" s="9">
        <v>58396.639999999999</v>
      </c>
      <c r="O185" s="8" t="s">
        <v>30</v>
      </c>
      <c r="P185" t="str">
        <f>TEXT(Table1[[#This Row],[Transaction_Date]],"mmm")</f>
        <v>Jan</v>
      </c>
      <c r="Q185" s="11">
        <v>45661</v>
      </c>
      <c r="R185" s="8" t="s">
        <v>566</v>
      </c>
      <c r="S185" s="8" t="s">
        <v>54</v>
      </c>
      <c r="T185" s="9">
        <v>4656.1499999999996</v>
      </c>
      <c r="U185" t="s">
        <v>61</v>
      </c>
      <c r="V185" s="8" t="s">
        <v>46</v>
      </c>
      <c r="W185"/>
      <c r="X185"/>
    </row>
    <row r="186" spans="1:24" hidden="1" x14ac:dyDescent="0.3">
      <c r="A186" t="s">
        <v>567</v>
      </c>
      <c r="B186" t="s">
        <v>568</v>
      </c>
      <c r="C186">
        <v>50</v>
      </c>
      <c r="D186" t="s">
        <v>84</v>
      </c>
      <c r="E186" t="s">
        <v>85</v>
      </c>
      <c r="F186" t="s">
        <v>84</v>
      </c>
      <c r="G186" t="s">
        <v>26</v>
      </c>
      <c r="H186" s="8" t="s">
        <v>40</v>
      </c>
      <c r="I186" s="9">
        <v>12000</v>
      </c>
      <c r="J186" s="9">
        <v>42285.07</v>
      </c>
      <c r="K186" s="8" t="s">
        <v>59</v>
      </c>
      <c r="L186" s="10">
        <v>34591.56</v>
      </c>
      <c r="M186" s="8" t="s">
        <v>29</v>
      </c>
      <c r="N186" s="9">
        <v>12896.17</v>
      </c>
      <c r="O186" s="8" t="s">
        <v>30</v>
      </c>
      <c r="P186" t="str">
        <f>TEXT(Table1[[#This Row],[Transaction_Date]],"mmm")</f>
        <v>Oct</v>
      </c>
      <c r="Q186" s="11">
        <v>45960</v>
      </c>
      <c r="R186" s="8" t="s">
        <v>569</v>
      </c>
      <c r="S186" s="8" t="s">
        <v>54</v>
      </c>
      <c r="T186" s="9">
        <v>1500.09</v>
      </c>
      <c r="U186" t="s">
        <v>45</v>
      </c>
      <c r="V186" s="8" t="s">
        <v>62</v>
      </c>
      <c r="W186"/>
      <c r="X186"/>
    </row>
    <row r="187" spans="1:24" x14ac:dyDescent="0.3">
      <c r="A187" t="s">
        <v>570</v>
      </c>
      <c r="B187" t="s">
        <v>571</v>
      </c>
      <c r="C187">
        <v>45</v>
      </c>
      <c r="D187" t="s">
        <v>57</v>
      </c>
      <c r="E187" t="s">
        <v>58</v>
      </c>
      <c r="F187" t="s">
        <v>57</v>
      </c>
      <c r="G187" t="s">
        <v>39</v>
      </c>
      <c r="H187" s="8" t="s">
        <v>40</v>
      </c>
      <c r="I187" s="9">
        <v>36213.33</v>
      </c>
      <c r="J187" s="9">
        <v>35244.79</v>
      </c>
      <c r="K187" s="8" t="s">
        <v>74</v>
      </c>
      <c r="L187" s="10">
        <v>0</v>
      </c>
      <c r="M187" s="8" t="s">
        <v>75</v>
      </c>
      <c r="N187" s="9">
        <v>0</v>
      </c>
      <c r="O187" s="8" t="s">
        <v>30</v>
      </c>
      <c r="P187" t="str">
        <f>TEXT(Table1[[#This Row],[Transaction_Date]],"mmm")</f>
        <v>Jul</v>
      </c>
      <c r="Q187" s="11">
        <v>45842</v>
      </c>
      <c r="R187" s="8" t="s">
        <v>572</v>
      </c>
      <c r="S187" s="8" t="s">
        <v>44</v>
      </c>
      <c r="T187" s="9">
        <v>1065.4100000000001</v>
      </c>
      <c r="U187" t="s">
        <v>71</v>
      </c>
      <c r="V187" s="8" t="s">
        <v>34</v>
      </c>
      <c r="W187"/>
      <c r="X187"/>
    </row>
    <row r="188" spans="1:24" x14ac:dyDescent="0.3">
      <c r="A188" t="s">
        <v>573</v>
      </c>
      <c r="B188" t="s">
        <v>574</v>
      </c>
      <c r="C188">
        <v>55</v>
      </c>
      <c r="D188" t="s">
        <v>24</v>
      </c>
      <c r="E188" t="s">
        <v>25</v>
      </c>
      <c r="F188" t="s">
        <v>24</v>
      </c>
      <c r="G188" t="s">
        <v>39</v>
      </c>
      <c r="H188" s="8" t="s">
        <v>51</v>
      </c>
      <c r="I188" s="9">
        <v>16535.599999999999</v>
      </c>
      <c r="J188" s="9">
        <v>6148.22</v>
      </c>
      <c r="K188" s="8" t="s">
        <v>74</v>
      </c>
      <c r="L188" s="10">
        <v>0</v>
      </c>
      <c r="M188" s="8" t="s">
        <v>75</v>
      </c>
      <c r="N188" s="9">
        <v>0</v>
      </c>
      <c r="O188" s="8" t="s">
        <v>30</v>
      </c>
      <c r="P188" t="str">
        <f>TEXT(Table1[[#This Row],[Transaction_Date]],"mmm")</f>
        <v>Jan</v>
      </c>
      <c r="Q188" s="11">
        <v>45667</v>
      </c>
      <c r="R188" s="8" t="s">
        <v>575</v>
      </c>
      <c r="S188" s="8" t="s">
        <v>44</v>
      </c>
      <c r="T188" s="9">
        <v>3064.79</v>
      </c>
      <c r="U188" t="s">
        <v>71</v>
      </c>
      <c r="V188" s="8" t="s">
        <v>62</v>
      </c>
      <c r="W188"/>
      <c r="X188"/>
    </row>
    <row r="189" spans="1:24" hidden="1" x14ac:dyDescent="0.3">
      <c r="A189" t="s">
        <v>576</v>
      </c>
      <c r="B189" t="s">
        <v>577</v>
      </c>
      <c r="C189">
        <v>40</v>
      </c>
      <c r="D189" t="s">
        <v>37</v>
      </c>
      <c r="E189" t="s">
        <v>38</v>
      </c>
      <c r="F189" t="s">
        <v>37</v>
      </c>
      <c r="G189" t="s">
        <v>80</v>
      </c>
      <c r="H189" s="8" t="s">
        <v>27</v>
      </c>
      <c r="I189" s="9">
        <v>78802.73</v>
      </c>
      <c r="J189" s="9">
        <v>10431.129999999999</v>
      </c>
      <c r="K189" s="8" t="s">
        <v>28</v>
      </c>
      <c r="L189" s="10">
        <v>126329.56</v>
      </c>
      <c r="M189" s="8" t="s">
        <v>29</v>
      </c>
      <c r="N189" s="9">
        <v>112527.54</v>
      </c>
      <c r="O189" s="8" t="s">
        <v>30</v>
      </c>
      <c r="P189" t="str">
        <f>TEXT(Table1[[#This Row],[Transaction_Date]],"mmm")</f>
        <v>Jun</v>
      </c>
      <c r="Q189" s="11">
        <v>45824</v>
      </c>
      <c r="R189" s="8" t="s">
        <v>578</v>
      </c>
      <c r="S189" s="8" t="s">
        <v>32</v>
      </c>
      <c r="T189" s="9">
        <v>1700.03</v>
      </c>
      <c r="U189" t="s">
        <v>61</v>
      </c>
      <c r="V189" s="8" t="s">
        <v>34</v>
      </c>
      <c r="W189"/>
      <c r="X189"/>
    </row>
    <row r="190" spans="1:24" hidden="1" x14ac:dyDescent="0.3">
      <c r="A190" t="s">
        <v>579</v>
      </c>
      <c r="B190" t="s">
        <v>580</v>
      </c>
      <c r="C190">
        <v>37</v>
      </c>
      <c r="D190" t="s">
        <v>37</v>
      </c>
      <c r="E190" t="s">
        <v>38</v>
      </c>
      <c r="F190" t="s">
        <v>37</v>
      </c>
      <c r="G190" t="s">
        <v>51</v>
      </c>
      <c r="H190" s="8" t="s">
        <v>40</v>
      </c>
      <c r="I190" s="9">
        <v>80104.92</v>
      </c>
      <c r="J190" s="9">
        <v>43910.05</v>
      </c>
      <c r="K190" s="8" t="s">
        <v>59</v>
      </c>
      <c r="L190" s="10">
        <v>203944.11</v>
      </c>
      <c r="M190" s="8" t="s">
        <v>29</v>
      </c>
      <c r="N190" s="9">
        <v>114591.16</v>
      </c>
      <c r="O190" s="8" t="s">
        <v>30</v>
      </c>
      <c r="P190" t="str">
        <f>TEXT(Table1[[#This Row],[Transaction_Date]],"mmm")</f>
        <v>Dec</v>
      </c>
      <c r="Q190" s="11">
        <v>46009</v>
      </c>
      <c r="R190" s="8" t="s">
        <v>581</v>
      </c>
      <c r="S190" s="8" t="s">
        <v>70</v>
      </c>
      <c r="T190" s="9">
        <v>349.55</v>
      </c>
      <c r="U190" t="s">
        <v>45</v>
      </c>
      <c r="V190" s="8" t="s">
        <v>62</v>
      </c>
      <c r="W190"/>
      <c r="X190"/>
    </row>
    <row r="191" spans="1:24" hidden="1" x14ac:dyDescent="0.3">
      <c r="A191" t="s">
        <v>582</v>
      </c>
      <c r="B191" t="s">
        <v>353</v>
      </c>
      <c r="C191">
        <v>19</v>
      </c>
      <c r="D191" t="s">
        <v>84</v>
      </c>
      <c r="E191" t="s">
        <v>85</v>
      </c>
      <c r="F191" t="s">
        <v>84</v>
      </c>
      <c r="G191" t="s">
        <v>80</v>
      </c>
      <c r="H191" s="8" t="s">
        <v>27</v>
      </c>
      <c r="I191" s="9">
        <v>12000</v>
      </c>
      <c r="J191" s="9">
        <v>18294.88</v>
      </c>
      <c r="K191" s="8" t="s">
        <v>52</v>
      </c>
      <c r="L191" s="10">
        <v>164769.79999999999</v>
      </c>
      <c r="M191" s="8" t="s">
        <v>29</v>
      </c>
      <c r="N191" s="9">
        <v>92550.91</v>
      </c>
      <c r="O191" s="8" t="s">
        <v>30</v>
      </c>
      <c r="P191" t="str">
        <f>TEXT(Table1[[#This Row],[Transaction_Date]],"mmm")</f>
        <v>Aug</v>
      </c>
      <c r="Q191" s="11">
        <v>45897</v>
      </c>
      <c r="R191" s="8" t="s">
        <v>583</v>
      </c>
      <c r="S191" s="8" t="s">
        <v>32</v>
      </c>
      <c r="T191" s="9">
        <v>242.26</v>
      </c>
      <c r="U191" t="s">
        <v>77</v>
      </c>
      <c r="V191" s="8" t="s">
        <v>62</v>
      </c>
      <c r="W191"/>
      <c r="X191"/>
    </row>
    <row r="192" spans="1:24" hidden="1" x14ac:dyDescent="0.3">
      <c r="A192" t="s">
        <v>584</v>
      </c>
      <c r="B192" t="s">
        <v>104</v>
      </c>
      <c r="C192">
        <v>51</v>
      </c>
      <c r="D192" t="s">
        <v>92</v>
      </c>
      <c r="E192" t="s">
        <v>93</v>
      </c>
      <c r="F192" t="s">
        <v>92</v>
      </c>
      <c r="G192" t="s">
        <v>26</v>
      </c>
      <c r="H192" s="8" t="s">
        <v>51</v>
      </c>
      <c r="I192" s="9">
        <v>68574.13</v>
      </c>
      <c r="J192" s="9">
        <v>56837.36</v>
      </c>
      <c r="K192" s="8" t="s">
        <v>74</v>
      </c>
      <c r="L192" s="10">
        <v>0</v>
      </c>
      <c r="M192" s="8" t="s">
        <v>75</v>
      </c>
      <c r="N192" s="9">
        <v>0</v>
      </c>
      <c r="O192" s="8" t="s">
        <v>30</v>
      </c>
      <c r="P192" t="str">
        <f>TEXT(Table1[[#This Row],[Transaction_Date]],"mmm")</f>
        <v>Jan</v>
      </c>
      <c r="Q192" s="11">
        <v>45664</v>
      </c>
      <c r="R192" s="8" t="s">
        <v>585</v>
      </c>
      <c r="S192" s="8" t="s">
        <v>44</v>
      </c>
      <c r="T192" s="9">
        <v>2756.44</v>
      </c>
      <c r="U192" t="s">
        <v>71</v>
      </c>
      <c r="V192" s="8" t="s">
        <v>62</v>
      </c>
      <c r="W192"/>
      <c r="X192"/>
    </row>
    <row r="193" spans="1:24" x14ac:dyDescent="0.3">
      <c r="A193" t="s">
        <v>586</v>
      </c>
      <c r="B193" t="s">
        <v>587</v>
      </c>
      <c r="C193">
        <v>39</v>
      </c>
      <c r="D193" t="s">
        <v>37</v>
      </c>
      <c r="E193" t="s">
        <v>38</v>
      </c>
      <c r="F193" t="s">
        <v>37</v>
      </c>
      <c r="G193" t="s">
        <v>39</v>
      </c>
      <c r="H193" s="8" t="s">
        <v>51</v>
      </c>
      <c r="I193" s="9">
        <v>51978.21</v>
      </c>
      <c r="J193" s="9">
        <v>41816.57</v>
      </c>
      <c r="K193" s="8" t="s">
        <v>68</v>
      </c>
      <c r="L193" s="10">
        <v>127618.29</v>
      </c>
      <c r="M193" s="8" t="s">
        <v>29</v>
      </c>
      <c r="N193" s="9">
        <v>49177.54</v>
      </c>
      <c r="O193" s="8" t="s">
        <v>30</v>
      </c>
      <c r="P193" t="str">
        <f>TEXT(Table1[[#This Row],[Transaction_Date]],"mmm")</f>
        <v>Feb</v>
      </c>
      <c r="Q193" s="11">
        <v>45707</v>
      </c>
      <c r="R193" s="8" t="s">
        <v>588</v>
      </c>
      <c r="S193" s="8" t="s">
        <v>44</v>
      </c>
      <c r="T193" s="9">
        <v>2228.7800000000002</v>
      </c>
      <c r="U193" t="s">
        <v>61</v>
      </c>
      <c r="V193" s="8" t="s">
        <v>62</v>
      </c>
      <c r="W193"/>
      <c r="X193"/>
    </row>
    <row r="194" spans="1:24" hidden="1" x14ac:dyDescent="0.3">
      <c r="A194" t="s">
        <v>589</v>
      </c>
      <c r="B194" t="s">
        <v>104</v>
      </c>
      <c r="C194">
        <v>36</v>
      </c>
      <c r="D194" t="s">
        <v>57</v>
      </c>
      <c r="E194" t="s">
        <v>58</v>
      </c>
      <c r="F194" t="s">
        <v>57</v>
      </c>
      <c r="G194" t="s">
        <v>26</v>
      </c>
      <c r="H194" s="8" t="s">
        <v>67</v>
      </c>
      <c r="I194" s="9">
        <v>27804.46</v>
      </c>
      <c r="J194" s="9">
        <v>15699.28</v>
      </c>
      <c r="K194" s="8" t="s">
        <v>74</v>
      </c>
      <c r="L194" s="10">
        <v>0</v>
      </c>
      <c r="M194" s="8" t="s">
        <v>75</v>
      </c>
      <c r="N194" s="9">
        <v>0</v>
      </c>
      <c r="O194" s="8" t="s">
        <v>30</v>
      </c>
      <c r="P194" t="str">
        <f>TEXT(Table1[[#This Row],[Transaction_Date]],"mmm")</f>
        <v>May</v>
      </c>
      <c r="Q194" s="11">
        <v>45785</v>
      </c>
      <c r="R194" s="8" t="s">
        <v>590</v>
      </c>
      <c r="S194" s="8" t="s">
        <v>32</v>
      </c>
      <c r="T194" s="9">
        <v>1455.27</v>
      </c>
      <c r="U194" t="s">
        <v>33</v>
      </c>
      <c r="V194" s="8" t="s">
        <v>62</v>
      </c>
      <c r="W194"/>
      <c r="X194"/>
    </row>
    <row r="195" spans="1:24" hidden="1" x14ac:dyDescent="0.3">
      <c r="A195" t="s">
        <v>591</v>
      </c>
      <c r="B195" t="s">
        <v>592</v>
      </c>
      <c r="C195">
        <v>42</v>
      </c>
      <c r="D195" t="s">
        <v>49</v>
      </c>
      <c r="E195" t="s">
        <v>50</v>
      </c>
      <c r="F195" t="s">
        <v>49</v>
      </c>
      <c r="G195" t="s">
        <v>26</v>
      </c>
      <c r="H195" s="8" t="s">
        <v>40</v>
      </c>
      <c r="I195" s="9">
        <v>74584.37</v>
      </c>
      <c r="J195" s="9">
        <v>23532.35</v>
      </c>
      <c r="K195" s="8" t="s">
        <v>28</v>
      </c>
      <c r="L195" s="10">
        <v>130149.23</v>
      </c>
      <c r="M195" s="8" t="s">
        <v>29</v>
      </c>
      <c r="N195" s="9">
        <v>59854.74</v>
      </c>
      <c r="O195" s="8" t="s">
        <v>30</v>
      </c>
      <c r="P195" t="str">
        <f>TEXT(Table1[[#This Row],[Transaction_Date]],"mmm")</f>
        <v>Sep</v>
      </c>
      <c r="Q195" s="11">
        <v>45923</v>
      </c>
      <c r="R195" s="8" t="s">
        <v>593</v>
      </c>
      <c r="S195" s="8" t="s">
        <v>70</v>
      </c>
      <c r="T195" s="9">
        <v>6265.1</v>
      </c>
      <c r="U195" t="s">
        <v>106</v>
      </c>
      <c r="V195" s="8" t="s">
        <v>62</v>
      </c>
      <c r="W195"/>
      <c r="X195"/>
    </row>
    <row r="196" spans="1:24" x14ac:dyDescent="0.3">
      <c r="A196" t="s">
        <v>594</v>
      </c>
      <c r="B196" t="s">
        <v>362</v>
      </c>
      <c r="C196">
        <v>54</v>
      </c>
      <c r="D196" t="s">
        <v>65</v>
      </c>
      <c r="E196" t="s">
        <v>66</v>
      </c>
      <c r="F196" t="s">
        <v>65</v>
      </c>
      <c r="G196" t="s">
        <v>39</v>
      </c>
      <c r="H196" s="8" t="s">
        <v>51</v>
      </c>
      <c r="I196" s="9">
        <v>39092.07</v>
      </c>
      <c r="J196" s="9">
        <v>22174.45</v>
      </c>
      <c r="K196" s="8" t="s">
        <v>74</v>
      </c>
      <c r="L196" s="10">
        <v>0</v>
      </c>
      <c r="M196" s="8" t="s">
        <v>75</v>
      </c>
      <c r="N196" s="9">
        <v>0</v>
      </c>
      <c r="O196" s="8" t="s">
        <v>30</v>
      </c>
      <c r="P196" t="str">
        <f>TEXT(Table1[[#This Row],[Transaction_Date]],"mmm")</f>
        <v>May</v>
      </c>
      <c r="Q196" s="11">
        <v>45805</v>
      </c>
      <c r="R196" s="8" t="s">
        <v>595</v>
      </c>
      <c r="S196" s="8" t="s">
        <v>70</v>
      </c>
      <c r="T196" s="9">
        <v>13340.8</v>
      </c>
      <c r="U196" t="s">
        <v>45</v>
      </c>
      <c r="V196" s="8" t="s">
        <v>34</v>
      </c>
      <c r="W196"/>
      <c r="X196"/>
    </row>
    <row r="197" spans="1:24" hidden="1" x14ac:dyDescent="0.3">
      <c r="A197" t="s">
        <v>596</v>
      </c>
      <c r="B197" t="s">
        <v>597</v>
      </c>
      <c r="C197">
        <v>52</v>
      </c>
      <c r="D197" t="s">
        <v>84</v>
      </c>
      <c r="E197" t="s">
        <v>85</v>
      </c>
      <c r="F197" t="s">
        <v>84</v>
      </c>
      <c r="G197" t="s">
        <v>80</v>
      </c>
      <c r="H197" s="8" t="s">
        <v>40</v>
      </c>
      <c r="I197" s="9">
        <v>110523.6</v>
      </c>
      <c r="J197" s="9">
        <v>45359</v>
      </c>
      <c r="K197" s="8" t="s">
        <v>74</v>
      </c>
      <c r="L197" s="10">
        <v>0</v>
      </c>
      <c r="M197" s="8" t="s">
        <v>75</v>
      </c>
      <c r="N197" s="9">
        <v>0</v>
      </c>
      <c r="O197" s="8" t="s">
        <v>30</v>
      </c>
      <c r="P197" t="str">
        <f>TEXT(Table1[[#This Row],[Transaction_Date]],"mmm")</f>
        <v>Feb</v>
      </c>
      <c r="Q197" s="11">
        <v>45716</v>
      </c>
      <c r="R197" s="8" t="s">
        <v>598</v>
      </c>
      <c r="S197" s="8" t="s">
        <v>70</v>
      </c>
      <c r="T197" s="9">
        <v>2404.48</v>
      </c>
      <c r="U197" t="s">
        <v>106</v>
      </c>
      <c r="V197" s="8" t="s">
        <v>62</v>
      </c>
      <c r="W197"/>
      <c r="X197"/>
    </row>
    <row r="198" spans="1:24" hidden="1" x14ac:dyDescent="0.3">
      <c r="A198" t="s">
        <v>599</v>
      </c>
      <c r="B198" t="s">
        <v>600</v>
      </c>
      <c r="C198">
        <v>41</v>
      </c>
      <c r="D198" t="s">
        <v>65</v>
      </c>
      <c r="E198" t="s">
        <v>66</v>
      </c>
      <c r="F198" t="s">
        <v>65</v>
      </c>
      <c r="G198" t="s">
        <v>26</v>
      </c>
      <c r="H198" s="8" t="s">
        <v>40</v>
      </c>
      <c r="I198" s="9">
        <v>19281.78</v>
      </c>
      <c r="J198" s="9">
        <v>18737.939999999999</v>
      </c>
      <c r="K198" s="8" t="s">
        <v>41</v>
      </c>
      <c r="L198" s="10">
        <v>55142.33</v>
      </c>
      <c r="M198" s="8" t="s">
        <v>42</v>
      </c>
      <c r="N198" s="9">
        <v>0</v>
      </c>
      <c r="O198" s="8" t="s">
        <v>30</v>
      </c>
      <c r="P198" t="str">
        <f>TEXT(Table1[[#This Row],[Transaction_Date]],"mmm")</f>
        <v>Apr</v>
      </c>
      <c r="Q198" s="11">
        <v>45763</v>
      </c>
      <c r="R198" s="8" t="s">
        <v>601</v>
      </c>
      <c r="S198" s="8" t="s">
        <v>70</v>
      </c>
      <c r="T198" s="9">
        <v>4902.42</v>
      </c>
      <c r="U198" t="s">
        <v>77</v>
      </c>
      <c r="V198" s="8" t="s">
        <v>62</v>
      </c>
      <c r="W198"/>
      <c r="X198"/>
    </row>
    <row r="199" spans="1:24" hidden="1" x14ac:dyDescent="0.3">
      <c r="A199" t="s">
        <v>602</v>
      </c>
      <c r="B199" t="s">
        <v>254</v>
      </c>
      <c r="C199">
        <v>37</v>
      </c>
      <c r="D199" t="s">
        <v>24</v>
      </c>
      <c r="E199" t="s">
        <v>25</v>
      </c>
      <c r="F199" t="s">
        <v>24</v>
      </c>
      <c r="G199" t="s">
        <v>80</v>
      </c>
      <c r="H199" s="8" t="s">
        <v>40</v>
      </c>
      <c r="I199" s="9">
        <v>60739.56</v>
      </c>
      <c r="J199" s="9">
        <v>21173.73</v>
      </c>
      <c r="K199" s="8" t="s">
        <v>74</v>
      </c>
      <c r="L199" s="10">
        <v>0</v>
      </c>
      <c r="M199" s="8" t="s">
        <v>75</v>
      </c>
      <c r="N199" s="9">
        <v>0</v>
      </c>
      <c r="O199" s="8" t="s">
        <v>30</v>
      </c>
      <c r="P199" t="str">
        <f>TEXT(Table1[[#This Row],[Transaction_Date]],"mmm")</f>
        <v>Mar</v>
      </c>
      <c r="Q199" s="11">
        <v>45730</v>
      </c>
      <c r="R199" s="8" t="s">
        <v>603</v>
      </c>
      <c r="S199" s="8" t="s">
        <v>44</v>
      </c>
      <c r="T199" s="9">
        <v>3611.1</v>
      </c>
      <c r="U199" t="s">
        <v>71</v>
      </c>
      <c r="V199" s="8" t="s">
        <v>62</v>
      </c>
      <c r="W199"/>
      <c r="X199"/>
    </row>
    <row r="200" spans="1:24" x14ac:dyDescent="0.3">
      <c r="A200" t="s">
        <v>604</v>
      </c>
      <c r="B200" t="s">
        <v>424</v>
      </c>
      <c r="C200">
        <v>61</v>
      </c>
      <c r="D200" t="s">
        <v>24</v>
      </c>
      <c r="E200" t="s">
        <v>25</v>
      </c>
      <c r="F200" t="s">
        <v>24</v>
      </c>
      <c r="G200" t="s">
        <v>39</v>
      </c>
      <c r="H200" s="8" t="s">
        <v>27</v>
      </c>
      <c r="I200" s="9">
        <v>62902.03</v>
      </c>
      <c r="J200" s="9">
        <v>37489.800000000003</v>
      </c>
      <c r="K200" s="8" t="s">
        <v>68</v>
      </c>
      <c r="L200" s="10">
        <v>91670.54</v>
      </c>
      <c r="M200" s="8" t="s">
        <v>29</v>
      </c>
      <c r="N200" s="9">
        <v>35410.699999999997</v>
      </c>
      <c r="O200" s="8" t="s">
        <v>30</v>
      </c>
      <c r="P200" t="str">
        <f>TEXT(Table1[[#This Row],[Transaction_Date]],"mmm")</f>
        <v>Mar</v>
      </c>
      <c r="Q200" s="11">
        <v>45726</v>
      </c>
      <c r="R200" s="8" t="s">
        <v>605</v>
      </c>
      <c r="S200" s="8" t="s">
        <v>54</v>
      </c>
      <c r="T200" s="9">
        <v>3262.22</v>
      </c>
      <c r="U200" t="s">
        <v>106</v>
      </c>
      <c r="V200" s="8" t="s">
        <v>62</v>
      </c>
      <c r="W200"/>
      <c r="X200"/>
    </row>
    <row r="201" spans="1:24" hidden="1" x14ac:dyDescent="0.3">
      <c r="A201" t="s">
        <v>606</v>
      </c>
      <c r="B201" t="s">
        <v>607</v>
      </c>
      <c r="C201">
        <v>46</v>
      </c>
      <c r="D201" t="s">
        <v>57</v>
      </c>
      <c r="E201" t="s">
        <v>58</v>
      </c>
      <c r="F201" t="s">
        <v>57</v>
      </c>
      <c r="G201" t="s">
        <v>26</v>
      </c>
      <c r="H201" s="8" t="s">
        <v>51</v>
      </c>
      <c r="I201" s="9">
        <v>64955.69</v>
      </c>
      <c r="J201" s="9">
        <v>33735.35</v>
      </c>
      <c r="K201" s="8" t="s">
        <v>74</v>
      </c>
      <c r="L201" s="10">
        <v>0</v>
      </c>
      <c r="M201" s="8" t="s">
        <v>75</v>
      </c>
      <c r="N201" s="9">
        <v>0</v>
      </c>
      <c r="O201" s="8" t="s">
        <v>30</v>
      </c>
      <c r="P201" t="str">
        <f>TEXT(Table1[[#This Row],[Transaction_Date]],"mmm")</f>
        <v>Oct</v>
      </c>
      <c r="Q201" s="11">
        <v>45932</v>
      </c>
      <c r="R201" s="8" t="s">
        <v>608</v>
      </c>
      <c r="S201" s="8" t="s">
        <v>44</v>
      </c>
      <c r="T201" s="9">
        <v>6710.2</v>
      </c>
      <c r="U201" t="s">
        <v>106</v>
      </c>
      <c r="V201" s="8" t="s">
        <v>62</v>
      </c>
      <c r="W201"/>
      <c r="X201"/>
    </row>
    <row r="202" spans="1:24" hidden="1" x14ac:dyDescent="0.3">
      <c r="A202" t="s">
        <v>609</v>
      </c>
      <c r="B202" t="s">
        <v>610</v>
      </c>
      <c r="C202">
        <v>29</v>
      </c>
      <c r="D202" t="s">
        <v>97</v>
      </c>
      <c r="E202" t="s">
        <v>98</v>
      </c>
      <c r="F202" t="s">
        <v>97</v>
      </c>
      <c r="G202" t="s">
        <v>51</v>
      </c>
      <c r="H202" s="8" t="s">
        <v>40</v>
      </c>
      <c r="I202" s="9">
        <v>50395.1</v>
      </c>
      <c r="J202" s="9">
        <v>42052.04</v>
      </c>
      <c r="K202" s="8" t="s">
        <v>59</v>
      </c>
      <c r="L202" s="10">
        <v>133884.6</v>
      </c>
      <c r="M202" s="8" t="s">
        <v>29</v>
      </c>
      <c r="N202" s="9">
        <v>63774.15</v>
      </c>
      <c r="O202" s="8" t="s">
        <v>228</v>
      </c>
      <c r="P202" t="str">
        <f>TEXT(Table1[[#This Row],[Transaction_Date]],"mmm")</f>
        <v>May</v>
      </c>
      <c r="Q202" s="11">
        <v>45794</v>
      </c>
      <c r="R202" s="8" t="s">
        <v>611</v>
      </c>
      <c r="S202" s="8" t="s">
        <v>54</v>
      </c>
      <c r="T202" s="9">
        <v>44371.15</v>
      </c>
      <c r="U202" t="s">
        <v>45</v>
      </c>
      <c r="V202" s="8" t="s">
        <v>62</v>
      </c>
      <c r="W202"/>
      <c r="X202"/>
    </row>
    <row r="203" spans="1:24" hidden="1" x14ac:dyDescent="0.3">
      <c r="A203" t="s">
        <v>612</v>
      </c>
      <c r="B203" t="s">
        <v>376</v>
      </c>
      <c r="C203">
        <v>30</v>
      </c>
      <c r="D203" t="s">
        <v>65</v>
      </c>
      <c r="E203" t="s">
        <v>66</v>
      </c>
      <c r="F203" t="s">
        <v>65</v>
      </c>
      <c r="G203" t="s">
        <v>26</v>
      </c>
      <c r="H203" s="8" t="s">
        <v>40</v>
      </c>
      <c r="I203" s="9">
        <v>55059.08</v>
      </c>
      <c r="J203" s="9">
        <v>96326.85</v>
      </c>
      <c r="K203" s="8" t="s">
        <v>74</v>
      </c>
      <c r="L203" s="10">
        <v>0</v>
      </c>
      <c r="M203" s="8" t="s">
        <v>75</v>
      </c>
      <c r="N203" s="9">
        <v>0</v>
      </c>
      <c r="O203" s="8" t="s">
        <v>30</v>
      </c>
      <c r="P203" t="str">
        <f>TEXT(Table1[[#This Row],[Transaction_Date]],"mmm")</f>
        <v>May</v>
      </c>
      <c r="Q203" s="11">
        <v>45796</v>
      </c>
      <c r="R203" s="8" t="s">
        <v>613</v>
      </c>
      <c r="S203" s="8" t="s">
        <v>70</v>
      </c>
      <c r="T203" s="9">
        <v>199.97</v>
      </c>
      <c r="U203" t="s">
        <v>106</v>
      </c>
      <c r="V203" s="8" t="s">
        <v>46</v>
      </c>
      <c r="W203"/>
      <c r="X203"/>
    </row>
    <row r="204" spans="1:24" x14ac:dyDescent="0.3">
      <c r="A204" t="s">
        <v>614</v>
      </c>
      <c r="B204" t="s">
        <v>212</v>
      </c>
      <c r="C204">
        <v>32</v>
      </c>
      <c r="D204" t="s">
        <v>37</v>
      </c>
      <c r="E204" t="s">
        <v>38</v>
      </c>
      <c r="F204" t="s">
        <v>37</v>
      </c>
      <c r="G204" t="s">
        <v>39</v>
      </c>
      <c r="H204" s="8" t="s">
        <v>40</v>
      </c>
      <c r="I204" s="9">
        <v>27356.85</v>
      </c>
      <c r="J204" s="9">
        <v>23754.89</v>
      </c>
      <c r="K204" s="8" t="s">
        <v>28</v>
      </c>
      <c r="L204" s="10">
        <v>110183.66</v>
      </c>
      <c r="M204" s="8" t="s">
        <v>29</v>
      </c>
      <c r="N204" s="9">
        <v>35297</v>
      </c>
      <c r="O204" s="8" t="s">
        <v>30</v>
      </c>
      <c r="P204" t="str">
        <f>TEXT(Table1[[#This Row],[Transaction_Date]],"mmm")</f>
        <v>Jul</v>
      </c>
      <c r="Q204" s="11">
        <v>45859</v>
      </c>
      <c r="R204" s="8" t="s">
        <v>615</v>
      </c>
      <c r="S204" s="8" t="s">
        <v>32</v>
      </c>
      <c r="T204" s="9">
        <v>4911.75</v>
      </c>
      <c r="U204" t="s">
        <v>45</v>
      </c>
      <c r="V204" s="8" t="s">
        <v>62</v>
      </c>
      <c r="W204"/>
      <c r="X204"/>
    </row>
    <row r="205" spans="1:24" x14ac:dyDescent="0.3">
      <c r="A205" t="s">
        <v>616</v>
      </c>
      <c r="B205" t="s">
        <v>617</v>
      </c>
      <c r="C205">
        <v>49</v>
      </c>
      <c r="D205" t="s">
        <v>49</v>
      </c>
      <c r="E205" t="s">
        <v>50</v>
      </c>
      <c r="F205" t="s">
        <v>49</v>
      </c>
      <c r="G205" t="s">
        <v>39</v>
      </c>
      <c r="H205" s="8" t="s">
        <v>27</v>
      </c>
      <c r="I205" s="9">
        <v>82382.95</v>
      </c>
      <c r="J205" s="9">
        <v>257628.92</v>
      </c>
      <c r="K205" s="8" t="s">
        <v>68</v>
      </c>
      <c r="L205" s="10">
        <v>25000</v>
      </c>
      <c r="M205" s="8" t="s">
        <v>42</v>
      </c>
      <c r="N205" s="9">
        <v>0</v>
      </c>
      <c r="O205" s="8" t="s">
        <v>30</v>
      </c>
      <c r="P205" t="str">
        <f>TEXT(Table1[[#This Row],[Transaction_Date]],"mmm")</f>
        <v>Jun</v>
      </c>
      <c r="Q205" s="11">
        <v>45810</v>
      </c>
      <c r="R205" s="8" t="s">
        <v>618</v>
      </c>
      <c r="S205" s="8" t="s">
        <v>32</v>
      </c>
      <c r="T205" s="9">
        <v>556.04999999999995</v>
      </c>
      <c r="U205" t="s">
        <v>61</v>
      </c>
      <c r="V205" s="8" t="s">
        <v>62</v>
      </c>
      <c r="W205"/>
      <c r="X205"/>
    </row>
    <row r="206" spans="1:24" x14ac:dyDescent="0.3">
      <c r="A206" t="s">
        <v>619</v>
      </c>
      <c r="B206" t="s">
        <v>191</v>
      </c>
      <c r="C206">
        <v>21</v>
      </c>
      <c r="D206" t="s">
        <v>84</v>
      </c>
      <c r="E206" t="s">
        <v>85</v>
      </c>
      <c r="F206" t="s">
        <v>84</v>
      </c>
      <c r="G206" t="s">
        <v>39</v>
      </c>
      <c r="H206" s="8" t="s">
        <v>40</v>
      </c>
      <c r="I206" s="9">
        <v>78427.289999999994</v>
      </c>
      <c r="J206" s="9">
        <v>77592.36</v>
      </c>
      <c r="K206" s="8" t="s">
        <v>59</v>
      </c>
      <c r="L206" s="10">
        <v>25000</v>
      </c>
      <c r="M206" s="8" t="s">
        <v>29</v>
      </c>
      <c r="N206" s="9">
        <v>8634.93</v>
      </c>
      <c r="O206" s="8" t="s">
        <v>30</v>
      </c>
      <c r="P206" t="str">
        <f>TEXT(Table1[[#This Row],[Transaction_Date]],"mmm")</f>
        <v>Mar</v>
      </c>
      <c r="Q206" s="11">
        <v>45744</v>
      </c>
      <c r="R206" s="8" t="s">
        <v>620</v>
      </c>
      <c r="S206" s="8" t="s">
        <v>32</v>
      </c>
      <c r="T206" s="9">
        <v>3176.13</v>
      </c>
      <c r="U206" t="s">
        <v>61</v>
      </c>
      <c r="V206" s="8" t="s">
        <v>34</v>
      </c>
      <c r="W206"/>
      <c r="X206"/>
    </row>
    <row r="207" spans="1:24" hidden="1" x14ac:dyDescent="0.3">
      <c r="A207" t="s">
        <v>621</v>
      </c>
      <c r="B207" t="s">
        <v>356</v>
      </c>
      <c r="C207">
        <v>45</v>
      </c>
      <c r="D207" t="s">
        <v>65</v>
      </c>
      <c r="E207" t="s">
        <v>66</v>
      </c>
      <c r="F207" t="s">
        <v>65</v>
      </c>
      <c r="G207" t="s">
        <v>26</v>
      </c>
      <c r="H207" s="8" t="s">
        <v>40</v>
      </c>
      <c r="I207" s="9">
        <v>93382.06</v>
      </c>
      <c r="J207" s="9">
        <v>26627.08</v>
      </c>
      <c r="K207" s="8" t="s">
        <v>68</v>
      </c>
      <c r="L207" s="10">
        <v>48495.94</v>
      </c>
      <c r="M207" s="8" t="s">
        <v>29</v>
      </c>
      <c r="N207" s="9">
        <v>13530.81</v>
      </c>
      <c r="O207" s="8" t="s">
        <v>30</v>
      </c>
      <c r="P207" t="str">
        <f>TEXT(Table1[[#This Row],[Transaction_Date]],"mmm")</f>
        <v>Jul</v>
      </c>
      <c r="Q207" s="11">
        <v>45858</v>
      </c>
      <c r="R207" s="8" t="s">
        <v>622</v>
      </c>
      <c r="S207" s="8" t="s">
        <v>54</v>
      </c>
      <c r="T207" s="9">
        <v>6383.29</v>
      </c>
      <c r="U207" t="s">
        <v>106</v>
      </c>
      <c r="V207" s="8" t="s">
        <v>62</v>
      </c>
      <c r="W207"/>
      <c r="X207"/>
    </row>
    <row r="208" spans="1:24" hidden="1" x14ac:dyDescent="0.3">
      <c r="A208" t="s">
        <v>623</v>
      </c>
      <c r="B208" t="s">
        <v>265</v>
      </c>
      <c r="C208">
        <v>52</v>
      </c>
      <c r="D208" t="s">
        <v>84</v>
      </c>
      <c r="E208" t="s">
        <v>85</v>
      </c>
      <c r="F208" t="s">
        <v>84</v>
      </c>
      <c r="G208" t="s">
        <v>51</v>
      </c>
      <c r="H208" s="8" t="s">
        <v>51</v>
      </c>
      <c r="I208" s="9">
        <v>84517.42</v>
      </c>
      <c r="J208" s="9">
        <v>12939.75</v>
      </c>
      <c r="K208" s="8" t="s">
        <v>28</v>
      </c>
      <c r="L208" s="10">
        <v>25000</v>
      </c>
      <c r="M208" s="8" t="s">
        <v>29</v>
      </c>
      <c r="N208" s="9">
        <v>18165.240000000002</v>
      </c>
      <c r="O208" s="8" t="s">
        <v>30</v>
      </c>
      <c r="P208" t="str">
        <f>TEXT(Table1[[#This Row],[Transaction_Date]],"mmm")</f>
        <v>Dec</v>
      </c>
      <c r="Q208" s="11">
        <v>46011</v>
      </c>
      <c r="R208" s="8" t="s">
        <v>624</v>
      </c>
      <c r="S208" s="8" t="s">
        <v>44</v>
      </c>
      <c r="T208" s="9">
        <v>3723.65</v>
      </c>
      <c r="U208" t="s">
        <v>61</v>
      </c>
      <c r="V208" s="8" t="s">
        <v>46</v>
      </c>
      <c r="W208"/>
      <c r="X208"/>
    </row>
    <row r="209" spans="1:24" x14ac:dyDescent="0.3">
      <c r="A209" t="s">
        <v>625</v>
      </c>
      <c r="B209" t="s">
        <v>626</v>
      </c>
      <c r="C209">
        <v>49</v>
      </c>
      <c r="D209" t="s">
        <v>92</v>
      </c>
      <c r="E209" t="s">
        <v>93</v>
      </c>
      <c r="F209" t="s">
        <v>92</v>
      </c>
      <c r="G209" t="s">
        <v>39</v>
      </c>
      <c r="H209" s="8" t="s">
        <v>40</v>
      </c>
      <c r="I209" s="9">
        <v>45650.32</v>
      </c>
      <c r="J209" s="9">
        <v>30742.74</v>
      </c>
      <c r="K209" s="8" t="s">
        <v>52</v>
      </c>
      <c r="L209" s="10">
        <v>135859.14000000001</v>
      </c>
      <c r="M209" s="8" t="s">
        <v>42</v>
      </c>
      <c r="N209" s="9">
        <v>0</v>
      </c>
      <c r="O209" s="8" t="s">
        <v>30</v>
      </c>
      <c r="P209" t="str">
        <f>TEXT(Table1[[#This Row],[Transaction_Date]],"mmm")</f>
        <v>Jul</v>
      </c>
      <c r="Q209" s="11">
        <v>45850</v>
      </c>
      <c r="R209" s="8" t="s">
        <v>627</v>
      </c>
      <c r="S209" s="8" t="s">
        <v>54</v>
      </c>
      <c r="T209" s="9">
        <v>8539.2199999999993</v>
      </c>
      <c r="U209" t="s">
        <v>77</v>
      </c>
      <c r="V209" s="8" t="s">
        <v>62</v>
      </c>
      <c r="W209"/>
      <c r="X209"/>
    </row>
    <row r="210" spans="1:24" hidden="1" x14ac:dyDescent="0.3">
      <c r="A210" t="s">
        <v>628</v>
      </c>
      <c r="B210" t="s">
        <v>530</v>
      </c>
      <c r="C210">
        <v>69</v>
      </c>
      <c r="D210" t="s">
        <v>49</v>
      </c>
      <c r="E210" t="s">
        <v>50</v>
      </c>
      <c r="F210" t="s">
        <v>49</v>
      </c>
      <c r="G210" t="s">
        <v>80</v>
      </c>
      <c r="H210" s="8" t="s">
        <v>51</v>
      </c>
      <c r="I210" s="9">
        <v>75139.17</v>
      </c>
      <c r="J210" s="9">
        <v>10000.86</v>
      </c>
      <c r="K210" s="8" t="s">
        <v>74</v>
      </c>
      <c r="L210" s="10">
        <v>0</v>
      </c>
      <c r="M210" s="8" t="s">
        <v>75</v>
      </c>
      <c r="N210" s="9">
        <v>0</v>
      </c>
      <c r="O210" s="8" t="s">
        <v>30</v>
      </c>
      <c r="P210" t="str">
        <f>TEXT(Table1[[#This Row],[Transaction_Date]],"mmm")</f>
        <v>Nov</v>
      </c>
      <c r="Q210" s="11">
        <v>45969</v>
      </c>
      <c r="R210" s="8" t="s">
        <v>629</v>
      </c>
      <c r="S210" s="8" t="s">
        <v>32</v>
      </c>
      <c r="T210" s="9">
        <v>6104.02</v>
      </c>
      <c r="U210" t="s">
        <v>45</v>
      </c>
      <c r="V210" s="8" t="s">
        <v>62</v>
      </c>
      <c r="W210"/>
      <c r="X210"/>
    </row>
    <row r="211" spans="1:24" x14ac:dyDescent="0.3">
      <c r="A211" t="s">
        <v>630</v>
      </c>
      <c r="B211" t="s">
        <v>406</v>
      </c>
      <c r="C211">
        <v>51</v>
      </c>
      <c r="D211" t="s">
        <v>92</v>
      </c>
      <c r="E211" t="s">
        <v>93</v>
      </c>
      <c r="F211" t="s">
        <v>92</v>
      </c>
      <c r="G211" t="s">
        <v>39</v>
      </c>
      <c r="H211" s="8" t="s">
        <v>40</v>
      </c>
      <c r="I211" s="9">
        <v>47829.95</v>
      </c>
      <c r="J211" s="9">
        <v>14756.78</v>
      </c>
      <c r="K211" s="8" t="s">
        <v>28</v>
      </c>
      <c r="L211" s="10">
        <v>59405.15</v>
      </c>
      <c r="M211" s="8" t="s">
        <v>29</v>
      </c>
      <c r="N211" s="9">
        <v>40741.870000000003</v>
      </c>
      <c r="O211" s="8" t="s">
        <v>30</v>
      </c>
      <c r="P211" t="str">
        <f>TEXT(Table1[[#This Row],[Transaction_Date]],"mmm")</f>
        <v>Feb</v>
      </c>
      <c r="Q211" s="11">
        <v>45705</v>
      </c>
      <c r="R211" s="8" t="s">
        <v>631</v>
      </c>
      <c r="S211" s="8" t="s">
        <v>54</v>
      </c>
      <c r="T211" s="9">
        <v>4063.64</v>
      </c>
      <c r="U211" t="s">
        <v>71</v>
      </c>
      <c r="V211" s="8" t="s">
        <v>62</v>
      </c>
      <c r="W211"/>
      <c r="X211"/>
    </row>
    <row r="212" spans="1:24" hidden="1" x14ac:dyDescent="0.3">
      <c r="A212" t="s">
        <v>632</v>
      </c>
      <c r="B212" t="s">
        <v>633</v>
      </c>
      <c r="C212">
        <v>30</v>
      </c>
      <c r="D212" t="s">
        <v>92</v>
      </c>
      <c r="E212" t="s">
        <v>93</v>
      </c>
      <c r="F212" t="s">
        <v>92</v>
      </c>
      <c r="G212" t="s">
        <v>51</v>
      </c>
      <c r="H212" s="8" t="s">
        <v>51</v>
      </c>
      <c r="I212" s="9">
        <v>84615.92</v>
      </c>
      <c r="J212" s="9">
        <v>19229.03</v>
      </c>
      <c r="K212" s="8" t="s">
        <v>28</v>
      </c>
      <c r="L212" s="10">
        <v>26678.04</v>
      </c>
      <c r="M212" s="8" t="s">
        <v>29</v>
      </c>
      <c r="N212" s="9">
        <v>12789.45</v>
      </c>
      <c r="O212" s="8" t="s">
        <v>30</v>
      </c>
      <c r="P212" t="str">
        <f>TEXT(Table1[[#This Row],[Transaction_Date]],"mmm")</f>
        <v>Mar</v>
      </c>
      <c r="Q212" s="11">
        <v>45719</v>
      </c>
      <c r="R212" s="8" t="s">
        <v>634</v>
      </c>
      <c r="S212" s="8" t="s">
        <v>44</v>
      </c>
      <c r="T212" s="9">
        <v>1347.39</v>
      </c>
      <c r="U212" t="s">
        <v>33</v>
      </c>
      <c r="V212" s="8" t="s">
        <v>62</v>
      </c>
      <c r="W212"/>
      <c r="X212"/>
    </row>
    <row r="213" spans="1:24" hidden="1" x14ac:dyDescent="0.3">
      <c r="A213" t="s">
        <v>635</v>
      </c>
      <c r="B213" t="s">
        <v>415</v>
      </c>
      <c r="C213">
        <v>35</v>
      </c>
      <c r="D213" t="s">
        <v>84</v>
      </c>
      <c r="E213" t="s">
        <v>85</v>
      </c>
      <c r="F213" t="s">
        <v>84</v>
      </c>
      <c r="G213" t="s">
        <v>80</v>
      </c>
      <c r="H213" s="8" t="s">
        <v>27</v>
      </c>
      <c r="I213" s="9">
        <v>68173.48</v>
      </c>
      <c r="J213" s="9">
        <v>40983.68</v>
      </c>
      <c r="K213" s="8" t="s">
        <v>59</v>
      </c>
      <c r="L213" s="10">
        <v>98839.77</v>
      </c>
      <c r="M213" s="8" t="s">
        <v>29</v>
      </c>
      <c r="N213" s="9">
        <v>24694.87</v>
      </c>
      <c r="O213" s="8" t="s">
        <v>30</v>
      </c>
      <c r="P213" t="str">
        <f>TEXT(Table1[[#This Row],[Transaction_Date]],"mmm")</f>
        <v>Sep</v>
      </c>
      <c r="Q213" s="11">
        <v>45907</v>
      </c>
      <c r="R213" s="8" t="s">
        <v>636</v>
      </c>
      <c r="S213" s="8" t="s">
        <v>70</v>
      </c>
      <c r="T213" s="9">
        <v>341.9</v>
      </c>
      <c r="U213" t="s">
        <v>45</v>
      </c>
      <c r="V213" s="8" t="s">
        <v>46</v>
      </c>
      <c r="W213"/>
      <c r="X213"/>
    </row>
    <row r="214" spans="1:24" hidden="1" x14ac:dyDescent="0.3">
      <c r="A214" t="s">
        <v>637</v>
      </c>
      <c r="B214" t="s">
        <v>638</v>
      </c>
      <c r="C214">
        <v>41</v>
      </c>
      <c r="D214" t="s">
        <v>37</v>
      </c>
      <c r="E214" t="s">
        <v>38</v>
      </c>
      <c r="F214" t="s">
        <v>37</v>
      </c>
      <c r="G214" t="s">
        <v>80</v>
      </c>
      <c r="H214" s="8" t="s">
        <v>40</v>
      </c>
      <c r="I214" s="9">
        <v>52406.77</v>
      </c>
      <c r="J214" s="9">
        <v>27465.78</v>
      </c>
      <c r="K214" s="8" t="s">
        <v>68</v>
      </c>
      <c r="L214" s="10">
        <v>78198.2</v>
      </c>
      <c r="M214" s="8" t="s">
        <v>29</v>
      </c>
      <c r="N214" s="9">
        <v>50661.99</v>
      </c>
      <c r="O214" s="8" t="s">
        <v>30</v>
      </c>
      <c r="P214" t="str">
        <f>TEXT(Table1[[#This Row],[Transaction_Date]],"mmm")</f>
        <v>Oct</v>
      </c>
      <c r="Q214" s="11">
        <v>45949</v>
      </c>
      <c r="R214" s="8" t="s">
        <v>639</v>
      </c>
      <c r="S214" s="8" t="s">
        <v>32</v>
      </c>
      <c r="T214" s="9">
        <v>2594.9499999999998</v>
      </c>
      <c r="U214" t="s">
        <v>33</v>
      </c>
      <c r="V214" s="8" t="s">
        <v>46</v>
      </c>
      <c r="W214"/>
      <c r="X214"/>
    </row>
    <row r="215" spans="1:24" x14ac:dyDescent="0.3">
      <c r="A215" t="s">
        <v>640</v>
      </c>
      <c r="B215" t="s">
        <v>359</v>
      </c>
      <c r="C215">
        <v>26</v>
      </c>
      <c r="D215" t="s">
        <v>97</v>
      </c>
      <c r="E215" t="s">
        <v>98</v>
      </c>
      <c r="F215" t="s">
        <v>97</v>
      </c>
      <c r="G215" t="s">
        <v>39</v>
      </c>
      <c r="H215" s="8" t="s">
        <v>40</v>
      </c>
      <c r="I215" s="9">
        <v>75736.509999999995</v>
      </c>
      <c r="J215" s="9">
        <v>51358.51</v>
      </c>
      <c r="K215" s="8" t="s">
        <v>41</v>
      </c>
      <c r="L215" s="10">
        <v>114158.38</v>
      </c>
      <c r="M215" s="8" t="s">
        <v>29</v>
      </c>
      <c r="N215" s="9">
        <v>72890.25</v>
      </c>
      <c r="O215" s="8" t="s">
        <v>30</v>
      </c>
      <c r="P215" t="str">
        <f>TEXT(Table1[[#This Row],[Transaction_Date]],"mmm")</f>
        <v>Dec</v>
      </c>
      <c r="Q215" s="11">
        <v>46003</v>
      </c>
      <c r="R215" s="8" t="s">
        <v>641</v>
      </c>
      <c r="S215" s="8" t="s">
        <v>44</v>
      </c>
      <c r="T215" s="9">
        <v>2472.46</v>
      </c>
      <c r="U215" t="s">
        <v>45</v>
      </c>
      <c r="V215" s="8" t="s">
        <v>34</v>
      </c>
      <c r="W215"/>
      <c r="X215"/>
    </row>
    <row r="216" spans="1:24" x14ac:dyDescent="0.3">
      <c r="A216" t="s">
        <v>642</v>
      </c>
      <c r="B216" t="s">
        <v>643</v>
      </c>
      <c r="C216">
        <v>44</v>
      </c>
      <c r="D216" t="s">
        <v>57</v>
      </c>
      <c r="E216" t="s">
        <v>58</v>
      </c>
      <c r="F216" t="s">
        <v>57</v>
      </c>
      <c r="G216" t="s">
        <v>39</v>
      </c>
      <c r="H216" s="8" t="s">
        <v>27</v>
      </c>
      <c r="I216" s="9">
        <v>34136.339999999997</v>
      </c>
      <c r="J216" s="9">
        <v>39252.980000000003</v>
      </c>
      <c r="K216" s="8" t="s">
        <v>68</v>
      </c>
      <c r="L216" s="10">
        <v>84745.23</v>
      </c>
      <c r="M216" s="8" t="s">
        <v>29</v>
      </c>
      <c r="N216" s="9">
        <v>59023.08</v>
      </c>
      <c r="O216" s="8" t="s">
        <v>30</v>
      </c>
      <c r="P216" t="str">
        <f>TEXT(Table1[[#This Row],[Transaction_Date]],"mmm")</f>
        <v>Oct</v>
      </c>
      <c r="Q216" s="11">
        <v>45936</v>
      </c>
      <c r="R216" s="8" t="s">
        <v>644</v>
      </c>
      <c r="S216" s="8" t="s">
        <v>32</v>
      </c>
      <c r="T216" s="9">
        <v>531.75</v>
      </c>
      <c r="U216" t="s">
        <v>61</v>
      </c>
      <c r="V216" s="8" t="s">
        <v>62</v>
      </c>
      <c r="W216"/>
      <c r="X216"/>
    </row>
    <row r="217" spans="1:24" x14ac:dyDescent="0.3">
      <c r="A217" t="s">
        <v>645</v>
      </c>
      <c r="B217" t="s">
        <v>646</v>
      </c>
      <c r="C217">
        <v>25</v>
      </c>
      <c r="D217" t="s">
        <v>57</v>
      </c>
      <c r="E217" t="s">
        <v>58</v>
      </c>
      <c r="F217" t="s">
        <v>57</v>
      </c>
      <c r="G217" t="s">
        <v>39</v>
      </c>
      <c r="H217" s="8" t="s">
        <v>40</v>
      </c>
      <c r="I217" s="9">
        <v>76562.06</v>
      </c>
      <c r="J217" s="9">
        <v>5063.9399999999996</v>
      </c>
      <c r="K217" s="8" t="s">
        <v>28</v>
      </c>
      <c r="L217" s="10">
        <v>78191.56</v>
      </c>
      <c r="M217" s="8" t="s">
        <v>42</v>
      </c>
      <c r="N217" s="9">
        <v>0</v>
      </c>
      <c r="O217" s="8" t="s">
        <v>30</v>
      </c>
      <c r="P217" t="str">
        <f>TEXT(Table1[[#This Row],[Transaction_Date]],"mmm")</f>
        <v>Aug</v>
      </c>
      <c r="Q217" s="11">
        <v>45874</v>
      </c>
      <c r="R217" s="8" t="s">
        <v>647</v>
      </c>
      <c r="S217" s="8" t="s">
        <v>32</v>
      </c>
      <c r="T217" s="9">
        <v>1500.99</v>
      </c>
      <c r="U217" t="s">
        <v>61</v>
      </c>
      <c r="V217" s="8" t="s">
        <v>34</v>
      </c>
      <c r="W217"/>
      <c r="X217"/>
    </row>
    <row r="218" spans="1:24" hidden="1" x14ac:dyDescent="0.3">
      <c r="A218" t="s">
        <v>648</v>
      </c>
      <c r="B218" t="s">
        <v>649</v>
      </c>
      <c r="C218">
        <v>46</v>
      </c>
      <c r="D218" t="s">
        <v>84</v>
      </c>
      <c r="E218" t="s">
        <v>85</v>
      </c>
      <c r="F218" t="s">
        <v>84</v>
      </c>
      <c r="G218" t="s">
        <v>80</v>
      </c>
      <c r="H218" s="8" t="s">
        <v>40</v>
      </c>
      <c r="I218" s="9">
        <v>68474.31</v>
      </c>
      <c r="J218" s="9">
        <v>44597.4</v>
      </c>
      <c r="K218" s="8" t="s">
        <v>52</v>
      </c>
      <c r="L218" s="10">
        <v>27930.87</v>
      </c>
      <c r="M218" s="8" t="s">
        <v>29</v>
      </c>
      <c r="N218" s="9">
        <v>13136.45</v>
      </c>
      <c r="O218" s="8" t="s">
        <v>30</v>
      </c>
      <c r="P218" t="str">
        <f>TEXT(Table1[[#This Row],[Transaction_Date]],"mmm")</f>
        <v>Oct</v>
      </c>
      <c r="Q218" s="11">
        <v>45961</v>
      </c>
      <c r="R218" s="8" t="s">
        <v>650</v>
      </c>
      <c r="S218" s="8" t="s">
        <v>44</v>
      </c>
      <c r="T218" s="9">
        <v>2101.8200000000002</v>
      </c>
      <c r="U218" t="s">
        <v>33</v>
      </c>
      <c r="V218" s="8" t="s">
        <v>62</v>
      </c>
      <c r="W218"/>
      <c r="X218"/>
    </row>
    <row r="219" spans="1:24" hidden="1" x14ac:dyDescent="0.3">
      <c r="A219" t="s">
        <v>651</v>
      </c>
      <c r="B219" t="s">
        <v>328</v>
      </c>
      <c r="C219">
        <v>42</v>
      </c>
      <c r="D219" t="s">
        <v>65</v>
      </c>
      <c r="E219" t="s">
        <v>66</v>
      </c>
      <c r="F219" t="s">
        <v>65</v>
      </c>
      <c r="G219" t="s">
        <v>26</v>
      </c>
      <c r="H219" s="8" t="s">
        <v>51</v>
      </c>
      <c r="I219" s="9">
        <v>40351.230000000003</v>
      </c>
      <c r="J219" s="9">
        <v>58266.6</v>
      </c>
      <c r="K219" s="8" t="s">
        <v>28</v>
      </c>
      <c r="L219" s="10">
        <v>52740.38</v>
      </c>
      <c r="M219" s="8" t="s">
        <v>29</v>
      </c>
      <c r="N219" s="9">
        <v>39542.239999999998</v>
      </c>
      <c r="O219" s="8" t="s">
        <v>30</v>
      </c>
      <c r="P219" t="str">
        <f>TEXT(Table1[[#This Row],[Transaction_Date]],"mmm")</f>
        <v>Mar</v>
      </c>
      <c r="Q219" s="11">
        <v>45718</v>
      </c>
      <c r="R219" s="8" t="s">
        <v>652</v>
      </c>
      <c r="S219" s="8" t="s">
        <v>44</v>
      </c>
      <c r="T219" s="9">
        <v>4422.6899999999996</v>
      </c>
      <c r="U219" t="s">
        <v>71</v>
      </c>
      <c r="V219" s="8" t="s">
        <v>46</v>
      </c>
      <c r="W219"/>
      <c r="X219"/>
    </row>
    <row r="220" spans="1:24" x14ac:dyDescent="0.3">
      <c r="A220" t="s">
        <v>653</v>
      </c>
      <c r="B220" t="s">
        <v>654</v>
      </c>
      <c r="C220">
        <v>21</v>
      </c>
      <c r="D220" t="s">
        <v>65</v>
      </c>
      <c r="E220" t="s">
        <v>66</v>
      </c>
      <c r="F220" t="s">
        <v>65</v>
      </c>
      <c r="G220" t="s">
        <v>39</v>
      </c>
      <c r="H220" s="8" t="s">
        <v>51</v>
      </c>
      <c r="I220" s="9">
        <v>67084.94</v>
      </c>
      <c r="J220" s="9">
        <v>59561.59</v>
      </c>
      <c r="K220" s="8" t="s">
        <v>74</v>
      </c>
      <c r="L220" s="10">
        <v>0</v>
      </c>
      <c r="M220" s="8" t="s">
        <v>75</v>
      </c>
      <c r="N220" s="9">
        <v>0</v>
      </c>
      <c r="O220" s="8" t="s">
        <v>30</v>
      </c>
      <c r="P220" t="str">
        <f>TEXT(Table1[[#This Row],[Transaction_Date]],"mmm")</f>
        <v>Jun</v>
      </c>
      <c r="Q220" s="11">
        <v>45823</v>
      </c>
      <c r="R220" s="8" t="s">
        <v>655</v>
      </c>
      <c r="S220" s="8" t="s">
        <v>70</v>
      </c>
      <c r="T220" s="9">
        <v>2790.17</v>
      </c>
      <c r="U220" t="s">
        <v>106</v>
      </c>
      <c r="V220" s="8" t="s">
        <v>62</v>
      </c>
      <c r="W220"/>
      <c r="X220"/>
    </row>
    <row r="221" spans="1:24" hidden="1" x14ac:dyDescent="0.3">
      <c r="A221" t="s">
        <v>656</v>
      </c>
      <c r="B221" t="s">
        <v>580</v>
      </c>
      <c r="C221">
        <v>30</v>
      </c>
      <c r="D221" t="s">
        <v>49</v>
      </c>
      <c r="E221" t="s">
        <v>50</v>
      </c>
      <c r="F221" t="s">
        <v>49</v>
      </c>
      <c r="G221" t="s">
        <v>51</v>
      </c>
      <c r="H221" s="8" t="s">
        <v>40</v>
      </c>
      <c r="I221" s="9">
        <v>78708.33</v>
      </c>
      <c r="J221" s="9">
        <v>59299.56</v>
      </c>
      <c r="K221" s="8" t="s">
        <v>52</v>
      </c>
      <c r="L221" s="10">
        <v>25000</v>
      </c>
      <c r="M221" s="8" t="s">
        <v>29</v>
      </c>
      <c r="N221" s="9">
        <v>16923.88</v>
      </c>
      <c r="O221" s="8" t="s">
        <v>30</v>
      </c>
      <c r="P221" t="str">
        <f>TEXT(Table1[[#This Row],[Transaction_Date]],"mmm")</f>
        <v>May</v>
      </c>
      <c r="Q221" s="11">
        <v>45800</v>
      </c>
      <c r="R221" s="8" t="s">
        <v>657</v>
      </c>
      <c r="S221" s="8" t="s">
        <v>54</v>
      </c>
      <c r="T221" s="9">
        <v>9937.83</v>
      </c>
      <c r="U221" t="s">
        <v>61</v>
      </c>
      <c r="V221" s="8" t="s">
        <v>34</v>
      </c>
      <c r="W221"/>
      <c r="X221"/>
    </row>
    <row r="222" spans="1:24" hidden="1" x14ac:dyDescent="0.3">
      <c r="A222" t="s">
        <v>658</v>
      </c>
      <c r="B222" t="s">
        <v>659</v>
      </c>
      <c r="C222">
        <v>44</v>
      </c>
      <c r="D222" t="s">
        <v>57</v>
      </c>
      <c r="E222" t="s">
        <v>58</v>
      </c>
      <c r="F222" t="s">
        <v>57</v>
      </c>
      <c r="G222" t="s">
        <v>80</v>
      </c>
      <c r="H222" s="8" t="s">
        <v>27</v>
      </c>
      <c r="I222" s="9">
        <v>60351.38</v>
      </c>
      <c r="J222" s="9">
        <v>70593.53</v>
      </c>
      <c r="K222" s="8" t="s">
        <v>74</v>
      </c>
      <c r="L222" s="10">
        <v>0</v>
      </c>
      <c r="M222" s="8" t="s">
        <v>75</v>
      </c>
      <c r="N222" s="9">
        <v>0</v>
      </c>
      <c r="O222" s="8" t="s">
        <v>30</v>
      </c>
      <c r="P222" t="str">
        <f>TEXT(Table1[[#This Row],[Transaction_Date]],"mmm")</f>
        <v>Mar</v>
      </c>
      <c r="Q222" s="11">
        <v>45747</v>
      </c>
      <c r="R222" s="8" t="s">
        <v>660</v>
      </c>
      <c r="S222" s="8" t="s">
        <v>44</v>
      </c>
      <c r="T222" s="9">
        <v>5499.05</v>
      </c>
      <c r="U222" t="s">
        <v>61</v>
      </c>
      <c r="V222" s="8" t="s">
        <v>62</v>
      </c>
      <c r="W222"/>
      <c r="X222"/>
    </row>
    <row r="223" spans="1:24" hidden="1" x14ac:dyDescent="0.3">
      <c r="A223" t="s">
        <v>661</v>
      </c>
      <c r="B223" t="s">
        <v>662</v>
      </c>
      <c r="C223">
        <v>42</v>
      </c>
      <c r="D223" t="s">
        <v>97</v>
      </c>
      <c r="E223" t="s">
        <v>98</v>
      </c>
      <c r="F223" t="s">
        <v>97</v>
      </c>
      <c r="G223" t="s">
        <v>26</v>
      </c>
      <c r="H223" s="8" t="s">
        <v>51</v>
      </c>
      <c r="I223" s="9">
        <v>46643.37</v>
      </c>
      <c r="J223" s="9">
        <v>20669.68</v>
      </c>
      <c r="K223" s="8" t="s">
        <v>41</v>
      </c>
      <c r="L223" s="10">
        <v>68403.45</v>
      </c>
      <c r="M223" s="8" t="s">
        <v>29</v>
      </c>
      <c r="N223" s="9">
        <v>60657.04</v>
      </c>
      <c r="O223" s="8" t="s">
        <v>30</v>
      </c>
      <c r="P223" t="str">
        <f>TEXT(Table1[[#This Row],[Transaction_Date]],"mmm")</f>
        <v>May</v>
      </c>
      <c r="Q223" s="11">
        <v>45801</v>
      </c>
      <c r="R223" s="8" t="s">
        <v>663</v>
      </c>
      <c r="S223" s="8" t="s">
        <v>70</v>
      </c>
      <c r="T223" s="9">
        <v>3107.96</v>
      </c>
      <c r="U223" t="s">
        <v>45</v>
      </c>
      <c r="V223" s="8" t="s">
        <v>46</v>
      </c>
      <c r="W223"/>
      <c r="X223"/>
    </row>
    <row r="224" spans="1:24" hidden="1" x14ac:dyDescent="0.3">
      <c r="A224" t="s">
        <v>664</v>
      </c>
      <c r="B224" t="s">
        <v>665</v>
      </c>
      <c r="C224">
        <v>68</v>
      </c>
      <c r="D224" t="s">
        <v>84</v>
      </c>
      <c r="E224" t="s">
        <v>85</v>
      </c>
      <c r="F224" t="s">
        <v>84</v>
      </c>
      <c r="G224" t="s">
        <v>51</v>
      </c>
      <c r="H224" s="8" t="s">
        <v>27</v>
      </c>
      <c r="I224" s="9">
        <v>56645.08</v>
      </c>
      <c r="J224" s="9">
        <v>30666.41</v>
      </c>
      <c r="K224" s="8" t="s">
        <v>74</v>
      </c>
      <c r="L224" s="10">
        <v>0</v>
      </c>
      <c r="M224" s="8" t="s">
        <v>75</v>
      </c>
      <c r="N224" s="9">
        <v>0</v>
      </c>
      <c r="O224" s="8" t="s">
        <v>30</v>
      </c>
      <c r="P224" t="str">
        <f>TEXT(Table1[[#This Row],[Transaction_Date]],"mmm")</f>
        <v>Sep</v>
      </c>
      <c r="Q224" s="11">
        <v>45921</v>
      </c>
      <c r="R224" s="8" t="s">
        <v>666</v>
      </c>
      <c r="S224" s="8" t="s">
        <v>32</v>
      </c>
      <c r="T224" s="9">
        <v>1338.32</v>
      </c>
      <c r="U224" t="s">
        <v>71</v>
      </c>
      <c r="V224" s="8" t="s">
        <v>62</v>
      </c>
      <c r="W224"/>
      <c r="X224"/>
    </row>
    <row r="225" spans="1:24" hidden="1" x14ac:dyDescent="0.3">
      <c r="A225" t="s">
        <v>667</v>
      </c>
      <c r="B225" t="s">
        <v>382</v>
      </c>
      <c r="C225">
        <v>41</v>
      </c>
      <c r="D225" t="s">
        <v>475</v>
      </c>
      <c r="E225" t="s">
        <v>66</v>
      </c>
      <c r="F225" t="s">
        <v>65</v>
      </c>
      <c r="G225" t="s">
        <v>51</v>
      </c>
      <c r="H225" s="8" t="s">
        <v>51</v>
      </c>
      <c r="I225" s="9">
        <v>51090.73</v>
      </c>
      <c r="J225" s="9">
        <v>14285.1</v>
      </c>
      <c r="K225" s="8" t="s">
        <v>59</v>
      </c>
      <c r="L225" s="10">
        <v>36508.42</v>
      </c>
      <c r="M225" s="8" t="s">
        <v>29</v>
      </c>
      <c r="N225" s="9">
        <v>14655.27</v>
      </c>
      <c r="O225" s="8" t="s">
        <v>30</v>
      </c>
      <c r="P225" t="str">
        <f>TEXT(Table1[[#This Row],[Transaction_Date]],"mmm")</f>
        <v>Feb</v>
      </c>
      <c r="Q225" s="11">
        <v>45709</v>
      </c>
      <c r="R225" s="8" t="s">
        <v>668</v>
      </c>
      <c r="S225" s="8" t="s">
        <v>44</v>
      </c>
      <c r="T225" s="9">
        <v>1325.8</v>
      </c>
      <c r="U225" t="s">
        <v>61</v>
      </c>
      <c r="V225" s="8" t="s">
        <v>34</v>
      </c>
      <c r="W225"/>
      <c r="X225"/>
    </row>
    <row r="226" spans="1:24" x14ac:dyDescent="0.3">
      <c r="A226" t="s">
        <v>669</v>
      </c>
      <c r="B226" t="s">
        <v>670</v>
      </c>
      <c r="C226">
        <v>44</v>
      </c>
      <c r="D226" t="s">
        <v>92</v>
      </c>
      <c r="E226" t="s">
        <v>93</v>
      </c>
      <c r="F226" t="s">
        <v>92</v>
      </c>
      <c r="G226" t="s">
        <v>39</v>
      </c>
      <c r="H226" s="8" t="s">
        <v>40</v>
      </c>
      <c r="I226" s="9">
        <v>85123.61</v>
      </c>
      <c r="J226" s="9">
        <v>9188.07</v>
      </c>
      <c r="K226" s="8" t="s">
        <v>68</v>
      </c>
      <c r="L226" s="10">
        <v>25490.84</v>
      </c>
      <c r="M226" s="8" t="s">
        <v>29</v>
      </c>
      <c r="N226" s="9">
        <v>9122.67</v>
      </c>
      <c r="O226" s="8" t="s">
        <v>30</v>
      </c>
      <c r="P226" t="str">
        <f>TEXT(Table1[[#This Row],[Transaction_Date]],"mmm")</f>
        <v>Aug</v>
      </c>
      <c r="Q226" s="11">
        <v>45880</v>
      </c>
      <c r="R226" s="8" t="s">
        <v>671</v>
      </c>
      <c r="S226" s="8" t="s">
        <v>32</v>
      </c>
      <c r="T226" s="9">
        <v>1279.82</v>
      </c>
      <c r="U226" t="s">
        <v>106</v>
      </c>
      <c r="V226" s="8" t="s">
        <v>34</v>
      </c>
      <c r="W226"/>
      <c r="X226"/>
    </row>
    <row r="227" spans="1:24" hidden="1" x14ac:dyDescent="0.3">
      <c r="A227" t="s">
        <v>672</v>
      </c>
      <c r="B227" t="s">
        <v>279</v>
      </c>
      <c r="C227">
        <v>34</v>
      </c>
      <c r="D227" t="s">
        <v>97</v>
      </c>
      <c r="E227" t="s">
        <v>98</v>
      </c>
      <c r="F227" t="s">
        <v>97</v>
      </c>
      <c r="G227" t="s">
        <v>26</v>
      </c>
      <c r="H227" s="8" t="s">
        <v>40</v>
      </c>
      <c r="I227" s="9">
        <v>52777.15</v>
      </c>
      <c r="J227" s="9">
        <v>26719.54</v>
      </c>
      <c r="K227" s="8" t="s">
        <v>68</v>
      </c>
      <c r="L227" s="10">
        <v>75719.22</v>
      </c>
      <c r="M227" s="8" t="s">
        <v>29</v>
      </c>
      <c r="N227" s="9">
        <v>55758.86</v>
      </c>
      <c r="O227" s="8" t="s">
        <v>30</v>
      </c>
      <c r="P227" t="str">
        <f>TEXT(Table1[[#This Row],[Transaction_Date]],"mmm")</f>
        <v>Aug</v>
      </c>
      <c r="Q227" s="11">
        <v>45883</v>
      </c>
      <c r="R227" s="8" t="s">
        <v>673</v>
      </c>
      <c r="S227" s="8" t="s">
        <v>44</v>
      </c>
      <c r="T227" s="9">
        <v>2583.6999999999998</v>
      </c>
      <c r="U227" t="s">
        <v>33</v>
      </c>
      <c r="V227" s="8" t="s">
        <v>62</v>
      </c>
      <c r="W227"/>
      <c r="X227"/>
    </row>
    <row r="228" spans="1:24" hidden="1" x14ac:dyDescent="0.3">
      <c r="A228" t="s">
        <v>674</v>
      </c>
      <c r="B228" t="s">
        <v>497</v>
      </c>
      <c r="C228">
        <v>40</v>
      </c>
      <c r="D228" t="s">
        <v>92</v>
      </c>
      <c r="E228" t="s">
        <v>93</v>
      </c>
      <c r="F228" t="s">
        <v>92</v>
      </c>
      <c r="G228" t="s">
        <v>51</v>
      </c>
      <c r="H228" s="8" t="s">
        <v>27</v>
      </c>
      <c r="I228" s="9">
        <v>92459.32</v>
      </c>
      <c r="J228" s="9">
        <v>10601.4</v>
      </c>
      <c r="K228" s="8" t="s">
        <v>68</v>
      </c>
      <c r="L228" s="10">
        <v>56610.05</v>
      </c>
      <c r="M228" s="8" t="s">
        <v>29</v>
      </c>
      <c r="N228" s="9">
        <v>31836.68</v>
      </c>
      <c r="O228" s="8" t="s">
        <v>30</v>
      </c>
      <c r="P228" t="str">
        <f>TEXT(Table1[[#This Row],[Transaction_Date]],"mmm")</f>
        <v>Nov</v>
      </c>
      <c r="Q228" s="11">
        <v>45984</v>
      </c>
      <c r="R228" s="8" t="s">
        <v>675</v>
      </c>
      <c r="S228" s="8" t="s">
        <v>54</v>
      </c>
      <c r="T228" s="9">
        <v>3078.08</v>
      </c>
      <c r="U228" t="s">
        <v>45</v>
      </c>
      <c r="V228" s="8" t="s">
        <v>62</v>
      </c>
      <c r="W228"/>
      <c r="X228"/>
    </row>
    <row r="229" spans="1:24" hidden="1" x14ac:dyDescent="0.3">
      <c r="A229" t="s">
        <v>676</v>
      </c>
      <c r="B229" t="s">
        <v>646</v>
      </c>
      <c r="C229">
        <v>40</v>
      </c>
      <c r="D229" t="s">
        <v>65</v>
      </c>
      <c r="E229" t="s">
        <v>66</v>
      </c>
      <c r="F229" t="s">
        <v>65</v>
      </c>
      <c r="G229" t="s">
        <v>51</v>
      </c>
      <c r="H229" s="8" t="s">
        <v>40</v>
      </c>
      <c r="I229" s="9">
        <v>27387.63</v>
      </c>
      <c r="J229" s="9">
        <v>30018.23</v>
      </c>
      <c r="K229" s="8" t="s">
        <v>74</v>
      </c>
      <c r="L229" s="10">
        <v>0</v>
      </c>
      <c r="M229" s="8" t="s">
        <v>75</v>
      </c>
      <c r="N229" s="9">
        <v>0</v>
      </c>
      <c r="O229" s="8" t="s">
        <v>30</v>
      </c>
      <c r="P229" t="str">
        <f>TEXT(Table1[[#This Row],[Transaction_Date]],"mmm")</f>
        <v>Jul</v>
      </c>
      <c r="Q229" s="11">
        <v>45845</v>
      </c>
      <c r="R229" s="8" t="s">
        <v>677</v>
      </c>
      <c r="S229" s="8" t="s">
        <v>44</v>
      </c>
      <c r="T229" s="9">
        <v>781.62</v>
      </c>
      <c r="U229" t="s">
        <v>475</v>
      </c>
      <c r="V229" s="8" t="s">
        <v>46</v>
      </c>
      <c r="W229"/>
      <c r="X229"/>
    </row>
    <row r="230" spans="1:24" x14ac:dyDescent="0.3">
      <c r="A230" t="s">
        <v>678</v>
      </c>
      <c r="B230" t="s">
        <v>649</v>
      </c>
      <c r="C230">
        <v>45</v>
      </c>
      <c r="D230" t="s">
        <v>57</v>
      </c>
      <c r="E230" t="s">
        <v>58</v>
      </c>
      <c r="F230" t="s">
        <v>57</v>
      </c>
      <c r="G230" t="s">
        <v>39</v>
      </c>
      <c r="H230" s="8" t="s">
        <v>51</v>
      </c>
      <c r="I230" s="9">
        <v>50165.49</v>
      </c>
      <c r="J230" s="9">
        <v>29321.49</v>
      </c>
      <c r="K230" s="8" t="s">
        <v>74</v>
      </c>
      <c r="L230" s="10">
        <v>0</v>
      </c>
      <c r="M230" s="8" t="s">
        <v>75</v>
      </c>
      <c r="N230" s="9">
        <v>0</v>
      </c>
      <c r="O230" s="8" t="s">
        <v>30</v>
      </c>
      <c r="P230" t="str">
        <f>TEXT(Table1[[#This Row],[Transaction_Date]],"mmm")</f>
        <v>May</v>
      </c>
      <c r="Q230" s="11">
        <v>45788</v>
      </c>
      <c r="R230" s="8" t="s">
        <v>679</v>
      </c>
      <c r="S230" s="8" t="s">
        <v>54</v>
      </c>
      <c r="T230" s="9">
        <v>2411.98</v>
      </c>
      <c r="U230" t="s">
        <v>106</v>
      </c>
      <c r="V230" s="8" t="s">
        <v>62</v>
      </c>
      <c r="W230"/>
      <c r="X230"/>
    </row>
    <row r="231" spans="1:24" x14ac:dyDescent="0.3">
      <c r="A231" t="s">
        <v>680</v>
      </c>
      <c r="B231" t="s">
        <v>460</v>
      </c>
      <c r="C231">
        <v>48</v>
      </c>
      <c r="D231" t="s">
        <v>92</v>
      </c>
      <c r="E231" t="s">
        <v>93</v>
      </c>
      <c r="F231" t="s">
        <v>92</v>
      </c>
      <c r="G231" t="s">
        <v>39</v>
      </c>
      <c r="H231" s="8" t="s">
        <v>27</v>
      </c>
      <c r="I231" s="9">
        <v>36412.230000000003</v>
      </c>
      <c r="J231" s="9">
        <v>26713.88</v>
      </c>
      <c r="K231" s="8" t="s">
        <v>28</v>
      </c>
      <c r="L231" s="10">
        <v>80916.289999999994</v>
      </c>
      <c r="M231" s="8" t="s">
        <v>29</v>
      </c>
      <c r="N231" s="9">
        <v>57011.47</v>
      </c>
      <c r="O231" s="8" t="s">
        <v>30</v>
      </c>
      <c r="P231" t="str">
        <f>TEXT(Table1[[#This Row],[Transaction_Date]],"mmm")</f>
        <v>Sep</v>
      </c>
      <c r="Q231" s="11">
        <v>45911</v>
      </c>
      <c r="R231" s="8" t="s">
        <v>681</v>
      </c>
      <c r="S231" s="8" t="s">
        <v>70</v>
      </c>
      <c r="T231" s="9">
        <v>4761.49</v>
      </c>
      <c r="U231" t="s">
        <v>106</v>
      </c>
      <c r="V231" s="8" t="s">
        <v>62</v>
      </c>
      <c r="W231"/>
      <c r="X231"/>
    </row>
    <row r="232" spans="1:24" x14ac:dyDescent="0.3">
      <c r="A232" t="s">
        <v>682</v>
      </c>
      <c r="B232" t="s">
        <v>665</v>
      </c>
      <c r="C232">
        <v>44</v>
      </c>
      <c r="D232" t="s">
        <v>84</v>
      </c>
      <c r="E232" t="s">
        <v>85</v>
      </c>
      <c r="F232" t="s">
        <v>84</v>
      </c>
      <c r="G232" t="s">
        <v>39</v>
      </c>
      <c r="H232" s="8" t="s">
        <v>27</v>
      </c>
      <c r="I232" s="9">
        <v>41001.629999999997</v>
      </c>
      <c r="J232" s="9">
        <v>65067.76</v>
      </c>
      <c r="K232" s="8" t="s">
        <v>52</v>
      </c>
      <c r="L232" s="10">
        <v>29853.27</v>
      </c>
      <c r="M232" s="8" t="s">
        <v>29</v>
      </c>
      <c r="N232" s="9">
        <v>27207.59</v>
      </c>
      <c r="O232" s="8" t="s">
        <v>228</v>
      </c>
      <c r="P232" t="str">
        <f>TEXT(Table1[[#This Row],[Transaction_Date]],"mmm")</f>
        <v>Nov</v>
      </c>
      <c r="Q232" s="11">
        <v>45985</v>
      </c>
      <c r="R232" s="8" t="s">
        <v>683</v>
      </c>
      <c r="S232" s="8" t="s">
        <v>54</v>
      </c>
      <c r="T232" s="9">
        <v>5589.61</v>
      </c>
      <c r="U232" t="s">
        <v>77</v>
      </c>
      <c r="V232" s="8" t="s">
        <v>62</v>
      </c>
      <c r="W232"/>
      <c r="X232"/>
    </row>
    <row r="233" spans="1:24" x14ac:dyDescent="0.3">
      <c r="A233" t="s">
        <v>684</v>
      </c>
      <c r="B233" t="s">
        <v>176</v>
      </c>
      <c r="C233">
        <v>35</v>
      </c>
      <c r="D233" t="s">
        <v>92</v>
      </c>
      <c r="E233" t="s">
        <v>93</v>
      </c>
      <c r="F233" t="s">
        <v>92</v>
      </c>
      <c r="G233" t="s">
        <v>39</v>
      </c>
      <c r="H233" s="8" t="s">
        <v>27</v>
      </c>
      <c r="I233" s="9">
        <v>57629.06</v>
      </c>
      <c r="J233" s="9">
        <v>110179.78</v>
      </c>
      <c r="K233" s="8" t="s">
        <v>74</v>
      </c>
      <c r="L233" s="10">
        <v>0</v>
      </c>
      <c r="M233" s="8" t="s">
        <v>75</v>
      </c>
      <c r="N233" s="9">
        <v>0</v>
      </c>
      <c r="O233" s="8" t="s">
        <v>30</v>
      </c>
      <c r="P233" t="str">
        <f>TEXT(Table1[[#This Row],[Transaction_Date]],"mmm")</f>
        <v>Jan</v>
      </c>
      <c r="Q233" s="11">
        <v>45670</v>
      </c>
      <c r="R233" s="8" t="s">
        <v>685</v>
      </c>
      <c r="S233" s="8" t="s">
        <v>32</v>
      </c>
      <c r="T233" s="9">
        <v>6734.42</v>
      </c>
      <c r="U233" t="s">
        <v>61</v>
      </c>
      <c r="V233" s="8" t="s">
        <v>34</v>
      </c>
      <c r="W233"/>
      <c r="X233"/>
    </row>
    <row r="234" spans="1:24" x14ac:dyDescent="0.3">
      <c r="A234" t="s">
        <v>686</v>
      </c>
      <c r="B234" t="s">
        <v>23</v>
      </c>
      <c r="C234">
        <v>33</v>
      </c>
      <c r="D234" t="s">
        <v>97</v>
      </c>
      <c r="E234" t="s">
        <v>98</v>
      </c>
      <c r="F234" t="s">
        <v>97</v>
      </c>
      <c r="G234" t="s">
        <v>39</v>
      </c>
      <c r="H234" s="8" t="s">
        <v>40</v>
      </c>
      <c r="I234" s="9">
        <v>99567.76</v>
      </c>
      <c r="J234" s="9">
        <v>18000.28</v>
      </c>
      <c r="K234" s="8" t="s">
        <v>68</v>
      </c>
      <c r="L234" s="10">
        <v>43274.74</v>
      </c>
      <c r="M234" s="8" t="s">
        <v>29</v>
      </c>
      <c r="N234" s="9">
        <v>17693.009999999998</v>
      </c>
      <c r="O234" s="8" t="s">
        <v>30</v>
      </c>
      <c r="P234" t="str">
        <f>TEXT(Table1[[#This Row],[Transaction_Date]],"mmm")</f>
        <v>May</v>
      </c>
      <c r="Q234" s="11">
        <v>45794</v>
      </c>
      <c r="R234" s="8" t="s">
        <v>687</v>
      </c>
      <c r="S234" s="8" t="s">
        <v>32</v>
      </c>
      <c r="T234" s="9">
        <v>2857.71</v>
      </c>
      <c r="U234" t="s">
        <v>45</v>
      </c>
      <c r="V234" s="8" t="s">
        <v>62</v>
      </c>
      <c r="W234"/>
      <c r="X234"/>
    </row>
    <row r="235" spans="1:24" hidden="1" x14ac:dyDescent="0.3">
      <c r="A235" t="s">
        <v>688</v>
      </c>
      <c r="B235" t="s">
        <v>356</v>
      </c>
      <c r="C235">
        <v>19</v>
      </c>
      <c r="D235" t="s">
        <v>57</v>
      </c>
      <c r="E235" t="s">
        <v>58</v>
      </c>
      <c r="F235" t="s">
        <v>57</v>
      </c>
      <c r="G235" t="s">
        <v>80</v>
      </c>
      <c r="H235" s="8" t="s">
        <v>40</v>
      </c>
      <c r="I235" s="9">
        <v>74383.570000000007</v>
      </c>
      <c r="J235" s="9">
        <v>19125.96</v>
      </c>
      <c r="K235" s="8" t="s">
        <v>74</v>
      </c>
      <c r="L235" s="10">
        <v>0</v>
      </c>
      <c r="M235" s="8" t="s">
        <v>75</v>
      </c>
      <c r="N235" s="9">
        <v>0</v>
      </c>
      <c r="O235" s="8" t="s">
        <v>30</v>
      </c>
      <c r="P235" t="str">
        <f>TEXT(Table1[[#This Row],[Transaction_Date]],"mmm")</f>
        <v>Feb</v>
      </c>
      <c r="Q235" s="11">
        <v>45699</v>
      </c>
      <c r="R235" s="8" t="s">
        <v>689</v>
      </c>
      <c r="S235" s="8" t="s">
        <v>44</v>
      </c>
      <c r="T235" s="9">
        <v>12716.3</v>
      </c>
      <c r="U235" t="s">
        <v>45</v>
      </c>
      <c r="V235" s="8" t="s">
        <v>62</v>
      </c>
      <c r="W235"/>
      <c r="X235"/>
    </row>
    <row r="236" spans="1:24" hidden="1" x14ac:dyDescent="0.3">
      <c r="A236" t="s">
        <v>690</v>
      </c>
      <c r="B236" t="s">
        <v>209</v>
      </c>
      <c r="C236">
        <v>41</v>
      </c>
      <c r="D236" t="s">
        <v>97</v>
      </c>
      <c r="E236" t="s">
        <v>98</v>
      </c>
      <c r="F236" t="s">
        <v>97</v>
      </c>
      <c r="G236" t="s">
        <v>80</v>
      </c>
      <c r="H236" s="8" t="s">
        <v>27</v>
      </c>
      <c r="I236" s="9">
        <v>57157.49</v>
      </c>
      <c r="J236" s="9">
        <v>7770.84</v>
      </c>
      <c r="K236" s="8" t="s">
        <v>28</v>
      </c>
      <c r="L236" s="10">
        <v>158245.65</v>
      </c>
      <c r="M236" s="8" t="s">
        <v>29</v>
      </c>
      <c r="N236" s="9">
        <v>59471.75</v>
      </c>
      <c r="O236" s="8" t="s">
        <v>30</v>
      </c>
      <c r="P236" t="str">
        <f>TEXT(Table1[[#This Row],[Transaction_Date]],"mmm")</f>
        <v>Nov</v>
      </c>
      <c r="Q236" s="11">
        <v>45962</v>
      </c>
      <c r="R236" s="8" t="s">
        <v>691</v>
      </c>
      <c r="S236" s="8" t="s">
        <v>44</v>
      </c>
      <c r="T236" s="9">
        <v>8983.01</v>
      </c>
      <c r="U236" t="s">
        <v>106</v>
      </c>
      <c r="V236" s="8" t="s">
        <v>62</v>
      </c>
      <c r="W236"/>
      <c r="X236"/>
    </row>
    <row r="237" spans="1:24" hidden="1" x14ac:dyDescent="0.3">
      <c r="A237" t="s">
        <v>692</v>
      </c>
      <c r="B237" t="s">
        <v>483</v>
      </c>
      <c r="C237">
        <v>58</v>
      </c>
      <c r="D237" t="s">
        <v>37</v>
      </c>
      <c r="E237" t="s">
        <v>38</v>
      </c>
      <c r="F237" t="s">
        <v>37</v>
      </c>
      <c r="G237" t="s">
        <v>51</v>
      </c>
      <c r="H237" s="8" t="s">
        <v>27</v>
      </c>
      <c r="I237" s="9">
        <v>49603.39</v>
      </c>
      <c r="J237" s="9">
        <v>41844.58</v>
      </c>
      <c r="K237" s="8" t="s">
        <v>52</v>
      </c>
      <c r="L237" s="10">
        <v>39334.61</v>
      </c>
      <c r="M237" s="8" t="s">
        <v>29</v>
      </c>
      <c r="N237" s="9">
        <v>23886.57</v>
      </c>
      <c r="O237" s="8" t="s">
        <v>30</v>
      </c>
      <c r="P237" t="str">
        <f>TEXT(Table1[[#This Row],[Transaction_Date]],"mmm")</f>
        <v>Jul</v>
      </c>
      <c r="Q237" s="11">
        <v>45845</v>
      </c>
      <c r="R237" s="8" t="s">
        <v>693</v>
      </c>
      <c r="S237" s="8" t="s">
        <v>32</v>
      </c>
      <c r="T237" s="9">
        <v>276.13</v>
      </c>
      <c r="U237" t="s">
        <v>45</v>
      </c>
      <c r="V237" s="8" t="s">
        <v>62</v>
      </c>
      <c r="W237"/>
      <c r="X237"/>
    </row>
    <row r="238" spans="1:24" hidden="1" x14ac:dyDescent="0.3">
      <c r="A238" t="s">
        <v>694</v>
      </c>
      <c r="B238" t="s">
        <v>695</v>
      </c>
      <c r="C238">
        <v>28</v>
      </c>
      <c r="D238" t="s">
        <v>97</v>
      </c>
      <c r="E238" t="s">
        <v>98</v>
      </c>
      <c r="F238" t="s">
        <v>97</v>
      </c>
      <c r="G238" t="s">
        <v>51</v>
      </c>
      <c r="H238" s="8" t="s">
        <v>27</v>
      </c>
      <c r="I238" s="9">
        <v>24455.42</v>
      </c>
      <c r="J238" s="9">
        <v>8945.42</v>
      </c>
      <c r="K238" s="8" t="s">
        <v>74</v>
      </c>
      <c r="L238" s="10">
        <v>0</v>
      </c>
      <c r="M238" s="8" t="s">
        <v>75</v>
      </c>
      <c r="N238" s="9">
        <v>0</v>
      </c>
      <c r="O238" s="8" t="s">
        <v>30</v>
      </c>
      <c r="P238" t="str">
        <f>TEXT(Table1[[#This Row],[Transaction_Date]],"mmm")</f>
        <v>May</v>
      </c>
      <c r="Q238" s="11">
        <v>45794</v>
      </c>
      <c r="R238" s="8" t="s">
        <v>696</v>
      </c>
      <c r="S238" s="8" t="s">
        <v>54</v>
      </c>
      <c r="T238" s="9">
        <v>3358.29</v>
      </c>
      <c r="U238" t="s">
        <v>106</v>
      </c>
      <c r="V238" s="8" t="s">
        <v>46</v>
      </c>
      <c r="W238"/>
      <c r="X238"/>
    </row>
    <row r="239" spans="1:24" x14ac:dyDescent="0.3">
      <c r="A239" t="s">
        <v>697</v>
      </c>
      <c r="B239" t="s">
        <v>64</v>
      </c>
      <c r="C239">
        <v>39</v>
      </c>
      <c r="D239" t="s">
        <v>92</v>
      </c>
      <c r="E239" t="s">
        <v>93</v>
      </c>
      <c r="F239" t="s">
        <v>92</v>
      </c>
      <c r="G239" t="s">
        <v>39</v>
      </c>
      <c r="H239" s="8" t="s">
        <v>40</v>
      </c>
      <c r="I239" s="9">
        <v>26100.47</v>
      </c>
      <c r="J239" s="9">
        <v>2224.06</v>
      </c>
      <c r="K239" s="8" t="s">
        <v>74</v>
      </c>
      <c r="L239" s="10">
        <v>0</v>
      </c>
      <c r="M239" s="8" t="s">
        <v>75</v>
      </c>
      <c r="N239" s="9">
        <v>0</v>
      </c>
      <c r="O239" s="8" t="s">
        <v>30</v>
      </c>
      <c r="P239" t="str">
        <f>TEXT(Table1[[#This Row],[Transaction_Date]],"mmm")</f>
        <v>Jul</v>
      </c>
      <c r="Q239" s="11">
        <v>45868</v>
      </c>
      <c r="R239" s="8" t="s">
        <v>698</v>
      </c>
      <c r="S239" s="8" t="s">
        <v>32</v>
      </c>
      <c r="T239" s="9">
        <v>4900.7</v>
      </c>
      <c r="U239" t="s">
        <v>33</v>
      </c>
      <c r="V239" s="8" t="s">
        <v>62</v>
      </c>
      <c r="W239"/>
      <c r="X239"/>
    </row>
    <row r="240" spans="1:24" x14ac:dyDescent="0.3">
      <c r="A240" t="s">
        <v>699</v>
      </c>
      <c r="B240" t="s">
        <v>574</v>
      </c>
      <c r="C240">
        <v>45</v>
      </c>
      <c r="D240" t="s">
        <v>24</v>
      </c>
      <c r="E240" t="s">
        <v>25</v>
      </c>
      <c r="F240" t="s">
        <v>24</v>
      </c>
      <c r="G240" t="s">
        <v>39</v>
      </c>
      <c r="H240" s="8" t="s">
        <v>40</v>
      </c>
      <c r="I240" s="9">
        <v>37276.68</v>
      </c>
      <c r="J240" s="9">
        <v>9957.34</v>
      </c>
      <c r="K240" s="8" t="s">
        <v>28</v>
      </c>
      <c r="L240" s="10">
        <v>127912.58</v>
      </c>
      <c r="M240" s="8" t="s">
        <v>29</v>
      </c>
      <c r="N240" s="9">
        <v>35852.99</v>
      </c>
      <c r="O240" s="8" t="s">
        <v>30</v>
      </c>
      <c r="P240" t="str">
        <f>TEXT(Table1[[#This Row],[Transaction_Date]],"mmm")</f>
        <v>Mar</v>
      </c>
      <c r="Q240" s="11">
        <v>45723</v>
      </c>
      <c r="R240" s="8" t="s">
        <v>700</v>
      </c>
      <c r="S240" s="8" t="s">
        <v>54</v>
      </c>
      <c r="T240" s="9">
        <v>1808.7</v>
      </c>
      <c r="U240" t="s">
        <v>106</v>
      </c>
      <c r="V240" s="8" t="s">
        <v>46</v>
      </c>
      <c r="W240"/>
      <c r="X240"/>
    </row>
    <row r="241" spans="1:24" hidden="1" x14ac:dyDescent="0.3">
      <c r="A241" t="s">
        <v>701</v>
      </c>
      <c r="B241" t="s">
        <v>341</v>
      </c>
      <c r="C241">
        <v>18</v>
      </c>
      <c r="D241" t="s">
        <v>57</v>
      </c>
      <c r="E241" t="s">
        <v>58</v>
      </c>
      <c r="F241" t="s">
        <v>57</v>
      </c>
      <c r="G241" t="s">
        <v>26</v>
      </c>
      <c r="H241" s="8" t="s">
        <v>27</v>
      </c>
      <c r="I241" s="9">
        <v>85185.35</v>
      </c>
      <c r="J241" s="9">
        <v>45279.69</v>
      </c>
      <c r="K241" s="8" t="s">
        <v>74</v>
      </c>
      <c r="L241" s="10">
        <v>0</v>
      </c>
      <c r="M241" s="8" t="s">
        <v>75</v>
      </c>
      <c r="N241" s="9">
        <v>0</v>
      </c>
      <c r="O241" s="8" t="s">
        <v>30</v>
      </c>
      <c r="P241" t="str">
        <f>TEXT(Table1[[#This Row],[Transaction_Date]],"mmm")</f>
        <v>Mar</v>
      </c>
      <c r="Q241" s="11">
        <v>45727</v>
      </c>
      <c r="R241" s="8" t="s">
        <v>702</v>
      </c>
      <c r="S241" s="8" t="s">
        <v>32</v>
      </c>
      <c r="T241" s="9">
        <v>7383.71</v>
      </c>
      <c r="U241" t="s">
        <v>33</v>
      </c>
      <c r="V241" s="8" t="s">
        <v>46</v>
      </c>
      <c r="W241"/>
      <c r="X241"/>
    </row>
    <row r="242" spans="1:24" hidden="1" x14ac:dyDescent="0.3">
      <c r="A242" t="s">
        <v>703</v>
      </c>
      <c r="B242" t="s">
        <v>553</v>
      </c>
      <c r="C242">
        <v>27</v>
      </c>
      <c r="D242" t="s">
        <v>24</v>
      </c>
      <c r="E242" t="s">
        <v>25</v>
      </c>
      <c r="F242" t="s">
        <v>24</v>
      </c>
      <c r="G242" t="s">
        <v>26</v>
      </c>
      <c r="H242" s="8" t="s">
        <v>27</v>
      </c>
      <c r="I242" s="9">
        <v>12000</v>
      </c>
      <c r="J242" s="9">
        <v>74164.149999999994</v>
      </c>
      <c r="K242" s="8" t="s">
        <v>74</v>
      </c>
      <c r="L242" s="10">
        <v>0</v>
      </c>
      <c r="M242" s="8" t="s">
        <v>75</v>
      </c>
      <c r="N242" s="9">
        <v>0</v>
      </c>
      <c r="O242" s="8" t="s">
        <v>30</v>
      </c>
      <c r="P242" t="str">
        <f>TEXT(Table1[[#This Row],[Transaction_Date]],"mmm")</f>
        <v>Jun</v>
      </c>
      <c r="Q242" s="11">
        <v>45837</v>
      </c>
      <c r="R242" s="8" t="s">
        <v>704</v>
      </c>
      <c r="S242" s="8" t="s">
        <v>54</v>
      </c>
      <c r="T242" s="9">
        <v>6655.43</v>
      </c>
      <c r="U242" t="s">
        <v>61</v>
      </c>
      <c r="V242" s="8" t="s">
        <v>46</v>
      </c>
      <c r="W242"/>
      <c r="X242"/>
    </row>
    <row r="243" spans="1:24" x14ac:dyDescent="0.3">
      <c r="A243" t="s">
        <v>705</v>
      </c>
      <c r="B243" t="s">
        <v>706</v>
      </c>
      <c r="C243">
        <v>44</v>
      </c>
      <c r="D243" t="s">
        <v>65</v>
      </c>
      <c r="E243" t="s">
        <v>66</v>
      </c>
      <c r="F243" t="s">
        <v>65</v>
      </c>
      <c r="G243" t="s">
        <v>39</v>
      </c>
      <c r="H243" s="8" t="s">
        <v>40</v>
      </c>
      <c r="I243" s="9">
        <v>50092.53</v>
      </c>
      <c r="J243" s="9">
        <v>31507.27</v>
      </c>
      <c r="K243" s="8" t="s">
        <v>41</v>
      </c>
      <c r="L243" s="10">
        <v>100966.92</v>
      </c>
      <c r="M243" s="8" t="s">
        <v>29</v>
      </c>
      <c r="N243" s="9">
        <v>85579.49</v>
      </c>
      <c r="O243" s="8" t="s">
        <v>30</v>
      </c>
      <c r="P243" t="str">
        <f>TEXT(Table1[[#This Row],[Transaction_Date]],"mmm")</f>
        <v>Mar</v>
      </c>
      <c r="Q243" s="11">
        <v>45747</v>
      </c>
      <c r="R243" s="8" t="s">
        <v>707</v>
      </c>
      <c r="S243" s="8" t="s">
        <v>32</v>
      </c>
      <c r="T243" s="9">
        <v>5610.52</v>
      </c>
      <c r="U243" t="s">
        <v>71</v>
      </c>
      <c r="V243" s="8" t="s">
        <v>62</v>
      </c>
      <c r="W243"/>
      <c r="X243"/>
    </row>
    <row r="244" spans="1:24" x14ac:dyDescent="0.3">
      <c r="A244" t="s">
        <v>708</v>
      </c>
      <c r="B244" t="s">
        <v>592</v>
      </c>
      <c r="C244">
        <v>29</v>
      </c>
      <c r="D244" t="s">
        <v>84</v>
      </c>
      <c r="E244" t="s">
        <v>85</v>
      </c>
      <c r="F244" t="s">
        <v>84</v>
      </c>
      <c r="G244" t="s">
        <v>39</v>
      </c>
      <c r="H244" s="8" t="s">
        <v>40</v>
      </c>
      <c r="I244" s="9">
        <v>21548.09</v>
      </c>
      <c r="J244" s="9">
        <v>44614.47</v>
      </c>
      <c r="K244" s="8" t="s">
        <v>74</v>
      </c>
      <c r="L244" s="10">
        <v>0</v>
      </c>
      <c r="M244" s="8" t="s">
        <v>75</v>
      </c>
      <c r="N244" s="9">
        <v>0</v>
      </c>
      <c r="O244" s="8" t="s">
        <v>30</v>
      </c>
      <c r="P244" t="str">
        <f>TEXT(Table1[[#This Row],[Transaction_Date]],"mmm")</f>
        <v>Apr</v>
      </c>
      <c r="Q244" s="11">
        <v>45768</v>
      </c>
      <c r="R244" s="8" t="s">
        <v>709</v>
      </c>
      <c r="S244" s="8" t="s">
        <v>70</v>
      </c>
      <c r="T244" s="9">
        <v>2359.2199999999998</v>
      </c>
      <c r="U244" t="s">
        <v>33</v>
      </c>
      <c r="V244" s="8" t="s">
        <v>46</v>
      </c>
      <c r="W244"/>
      <c r="X244"/>
    </row>
    <row r="245" spans="1:24" hidden="1" x14ac:dyDescent="0.3">
      <c r="A245" t="s">
        <v>710</v>
      </c>
      <c r="B245" t="s">
        <v>711</v>
      </c>
      <c r="C245">
        <v>34</v>
      </c>
      <c r="D245" t="s">
        <v>57</v>
      </c>
      <c r="E245" t="s">
        <v>58</v>
      </c>
      <c r="F245" t="s">
        <v>57</v>
      </c>
      <c r="G245" t="s">
        <v>80</v>
      </c>
      <c r="H245" s="8" t="s">
        <v>67</v>
      </c>
      <c r="I245" s="9">
        <v>12000</v>
      </c>
      <c r="J245" s="9">
        <v>27373.02</v>
      </c>
      <c r="K245" s="8" t="s">
        <v>74</v>
      </c>
      <c r="L245" s="10">
        <v>0</v>
      </c>
      <c r="M245" s="8" t="s">
        <v>75</v>
      </c>
      <c r="N245" s="9">
        <v>0</v>
      </c>
      <c r="O245" s="8" t="s">
        <v>30</v>
      </c>
      <c r="P245" t="str">
        <f>TEXT(Table1[[#This Row],[Transaction_Date]],"mmm")</f>
        <v>May</v>
      </c>
      <c r="Q245" s="11">
        <v>45802</v>
      </c>
      <c r="R245" s="8" t="s">
        <v>712</v>
      </c>
      <c r="S245" s="8" t="s">
        <v>32</v>
      </c>
      <c r="T245" s="9">
        <v>1103.96</v>
      </c>
      <c r="U245" t="s">
        <v>45</v>
      </c>
      <c r="V245" s="8" t="s">
        <v>34</v>
      </c>
      <c r="W245"/>
      <c r="X245"/>
    </row>
    <row r="246" spans="1:24" hidden="1" x14ac:dyDescent="0.3">
      <c r="A246" t="s">
        <v>713</v>
      </c>
      <c r="B246" t="s">
        <v>600</v>
      </c>
      <c r="C246">
        <v>34</v>
      </c>
      <c r="D246" t="s">
        <v>65</v>
      </c>
      <c r="E246" t="s">
        <v>66</v>
      </c>
      <c r="F246" t="s">
        <v>65</v>
      </c>
      <c r="G246" t="s">
        <v>80</v>
      </c>
      <c r="H246" s="8" t="s">
        <v>51</v>
      </c>
      <c r="I246" s="9">
        <v>64036.77</v>
      </c>
      <c r="J246" s="9">
        <v>19681.39</v>
      </c>
      <c r="K246" s="8" t="s">
        <v>28</v>
      </c>
      <c r="L246" s="10">
        <v>52046.74</v>
      </c>
      <c r="M246" s="8" t="s">
        <v>29</v>
      </c>
      <c r="N246" s="9">
        <v>46858.31</v>
      </c>
      <c r="O246" s="8" t="s">
        <v>30</v>
      </c>
      <c r="P246" t="str">
        <f>TEXT(Table1[[#This Row],[Transaction_Date]],"mmm")</f>
        <v>Aug</v>
      </c>
      <c r="Q246" s="11">
        <v>45874</v>
      </c>
      <c r="R246" s="8" t="s">
        <v>714</v>
      </c>
      <c r="S246" s="8" t="s">
        <v>70</v>
      </c>
      <c r="T246" s="9">
        <v>2500.4299999999998</v>
      </c>
      <c r="U246" t="s">
        <v>45</v>
      </c>
      <c r="V246" s="8" t="s">
        <v>62</v>
      </c>
      <c r="W246"/>
      <c r="X246"/>
    </row>
    <row r="247" spans="1:24" hidden="1" x14ac:dyDescent="0.3">
      <c r="A247" t="s">
        <v>715</v>
      </c>
      <c r="B247" t="s">
        <v>96</v>
      </c>
      <c r="C247">
        <v>42</v>
      </c>
      <c r="D247" t="s">
        <v>57</v>
      </c>
      <c r="E247" t="s">
        <v>58</v>
      </c>
      <c r="F247" t="s">
        <v>57</v>
      </c>
      <c r="G247" t="s">
        <v>26</v>
      </c>
      <c r="H247" s="8" t="s">
        <v>67</v>
      </c>
      <c r="I247" s="9">
        <v>12000</v>
      </c>
      <c r="J247" s="9">
        <v>13679.7</v>
      </c>
      <c r="K247" s="8" t="s">
        <v>74</v>
      </c>
      <c r="L247" s="10">
        <v>0</v>
      </c>
      <c r="M247" s="8" t="s">
        <v>75</v>
      </c>
      <c r="N247" s="9">
        <v>0</v>
      </c>
      <c r="O247" s="8" t="s">
        <v>30</v>
      </c>
      <c r="P247" t="str">
        <f>TEXT(Table1[[#This Row],[Transaction_Date]],"mmm")</f>
        <v>Jan</v>
      </c>
      <c r="Q247" s="11">
        <v>45676</v>
      </c>
      <c r="R247" s="8" t="s">
        <v>716</v>
      </c>
      <c r="S247" s="8" t="s">
        <v>32</v>
      </c>
      <c r="T247" s="9">
        <v>2251.98</v>
      </c>
      <c r="U247" t="s">
        <v>71</v>
      </c>
      <c r="V247" s="8" t="s">
        <v>62</v>
      </c>
      <c r="W247"/>
      <c r="X247"/>
    </row>
    <row r="248" spans="1:24" hidden="1" x14ac:dyDescent="0.3">
      <c r="A248" t="s">
        <v>717</v>
      </c>
      <c r="B248" t="s">
        <v>243</v>
      </c>
      <c r="C248">
        <v>35</v>
      </c>
      <c r="D248" t="s">
        <v>49</v>
      </c>
      <c r="E248" t="s">
        <v>50</v>
      </c>
      <c r="F248" t="s">
        <v>49</v>
      </c>
      <c r="G248" t="s">
        <v>51</v>
      </c>
      <c r="H248" s="8" t="s">
        <v>27</v>
      </c>
      <c r="I248" s="9">
        <v>85356.45</v>
      </c>
      <c r="J248" s="9">
        <v>6980.8</v>
      </c>
      <c r="K248" s="8" t="s">
        <v>74</v>
      </c>
      <c r="L248" s="10">
        <v>0</v>
      </c>
      <c r="M248" s="8" t="s">
        <v>75</v>
      </c>
      <c r="N248" s="9">
        <v>0</v>
      </c>
      <c r="O248" s="8" t="s">
        <v>30</v>
      </c>
      <c r="P248" t="str">
        <f>TEXT(Table1[[#This Row],[Transaction_Date]],"mmm")</f>
        <v>Dec</v>
      </c>
      <c r="Q248" s="11">
        <v>46020</v>
      </c>
      <c r="R248" s="8" t="s">
        <v>718</v>
      </c>
      <c r="S248" s="8" t="s">
        <v>32</v>
      </c>
      <c r="T248" s="9">
        <v>10294.58</v>
      </c>
      <c r="U248" t="s">
        <v>106</v>
      </c>
      <c r="V248" s="8" t="s">
        <v>46</v>
      </c>
      <c r="W248"/>
      <c r="X248"/>
    </row>
    <row r="249" spans="1:24" x14ac:dyDescent="0.3">
      <c r="A249" t="s">
        <v>719</v>
      </c>
      <c r="B249" t="s">
        <v>659</v>
      </c>
      <c r="C249">
        <v>33</v>
      </c>
      <c r="D249" t="s">
        <v>49</v>
      </c>
      <c r="E249" t="s">
        <v>50</v>
      </c>
      <c r="F249" t="s">
        <v>49</v>
      </c>
      <c r="G249" t="s">
        <v>39</v>
      </c>
      <c r="H249" s="8" t="s">
        <v>40</v>
      </c>
      <c r="I249" s="9">
        <v>43160.5</v>
      </c>
      <c r="J249" s="9">
        <v>17143.810000000001</v>
      </c>
      <c r="K249" s="8" t="s">
        <v>52</v>
      </c>
      <c r="L249" s="10">
        <v>239995.26</v>
      </c>
      <c r="M249" s="8" t="s">
        <v>29</v>
      </c>
      <c r="N249" s="9">
        <v>105182.97</v>
      </c>
      <c r="O249" s="8" t="s">
        <v>228</v>
      </c>
      <c r="P249" t="str">
        <f>TEXT(Table1[[#This Row],[Transaction_Date]],"mmm")</f>
        <v>Jun</v>
      </c>
      <c r="Q249" s="11">
        <v>45816</v>
      </c>
      <c r="R249" s="8" t="s">
        <v>720</v>
      </c>
      <c r="S249" s="8" t="s">
        <v>32</v>
      </c>
      <c r="T249" s="9">
        <v>2451.2199999999998</v>
      </c>
      <c r="U249" t="s">
        <v>71</v>
      </c>
      <c r="V249" s="8" t="s">
        <v>62</v>
      </c>
      <c r="W249"/>
      <c r="X249"/>
    </row>
    <row r="250" spans="1:24" x14ac:dyDescent="0.3">
      <c r="A250" t="s">
        <v>721</v>
      </c>
      <c r="B250" t="s">
        <v>722</v>
      </c>
      <c r="C250">
        <v>19</v>
      </c>
      <c r="D250" t="s">
        <v>57</v>
      </c>
      <c r="E250" t="s">
        <v>58</v>
      </c>
      <c r="F250" t="s">
        <v>57</v>
      </c>
      <c r="G250" t="s">
        <v>39</v>
      </c>
      <c r="H250" s="8" t="s">
        <v>40</v>
      </c>
      <c r="I250" s="9">
        <v>38873.269999999997</v>
      </c>
      <c r="J250" s="9">
        <v>10972.77</v>
      </c>
      <c r="K250" s="8" t="s">
        <v>52</v>
      </c>
      <c r="L250" s="10">
        <v>234110.02</v>
      </c>
      <c r="M250" s="8" t="s">
        <v>29</v>
      </c>
      <c r="N250" s="9">
        <v>191584.79</v>
      </c>
      <c r="O250" s="8" t="s">
        <v>30</v>
      </c>
      <c r="P250" t="str">
        <f>TEXT(Table1[[#This Row],[Transaction_Date]],"mmm")</f>
        <v>Dec</v>
      </c>
      <c r="Q250" s="11">
        <v>46007</v>
      </c>
      <c r="R250" s="8" t="s">
        <v>723</v>
      </c>
      <c r="S250" s="8" t="s">
        <v>70</v>
      </c>
      <c r="T250" s="9">
        <v>2363.4299999999998</v>
      </c>
      <c r="U250" t="s">
        <v>106</v>
      </c>
      <c r="V250" s="8" t="s">
        <v>62</v>
      </c>
      <c r="W250"/>
      <c r="X250"/>
    </row>
    <row r="251" spans="1:24" hidden="1" x14ac:dyDescent="0.3">
      <c r="A251" t="s">
        <v>724</v>
      </c>
      <c r="B251" t="s">
        <v>285</v>
      </c>
      <c r="C251">
        <v>51</v>
      </c>
      <c r="D251" t="s">
        <v>97</v>
      </c>
      <c r="E251" t="s">
        <v>98</v>
      </c>
      <c r="F251" t="s">
        <v>97</v>
      </c>
      <c r="G251" t="s">
        <v>26</v>
      </c>
      <c r="H251" s="8" t="s">
        <v>27</v>
      </c>
      <c r="I251" s="9">
        <v>59465.83</v>
      </c>
      <c r="J251" s="9">
        <v>21694.92</v>
      </c>
      <c r="K251" s="8" t="s">
        <v>68</v>
      </c>
      <c r="L251" s="10">
        <v>67160.59</v>
      </c>
      <c r="M251" s="8" t="s">
        <v>42</v>
      </c>
      <c r="N251" s="9">
        <v>0</v>
      </c>
      <c r="O251" s="8" t="s">
        <v>30</v>
      </c>
      <c r="P251" t="str">
        <f>TEXT(Table1[[#This Row],[Transaction_Date]],"mmm")</f>
        <v>Oct</v>
      </c>
      <c r="Q251" s="11">
        <v>45956</v>
      </c>
      <c r="R251" s="8" t="s">
        <v>725</v>
      </c>
      <c r="S251" s="8" t="s">
        <v>32</v>
      </c>
      <c r="T251" s="9">
        <v>5619.7</v>
      </c>
      <c r="U251" t="s">
        <v>77</v>
      </c>
      <c r="V251" s="8" t="s">
        <v>62</v>
      </c>
      <c r="W251"/>
      <c r="X251"/>
    </row>
    <row r="252" spans="1:24" x14ac:dyDescent="0.3">
      <c r="A252" t="s">
        <v>726</v>
      </c>
      <c r="B252" t="s">
        <v>580</v>
      </c>
      <c r="C252">
        <v>43</v>
      </c>
      <c r="D252" t="s">
        <v>84</v>
      </c>
      <c r="E252" t="s">
        <v>85</v>
      </c>
      <c r="F252" t="s">
        <v>84</v>
      </c>
      <c r="G252" t="s">
        <v>39</v>
      </c>
      <c r="H252" s="8" t="s">
        <v>27</v>
      </c>
      <c r="I252" s="9">
        <v>39448.36</v>
      </c>
      <c r="J252" s="9">
        <v>18170.78</v>
      </c>
      <c r="K252" s="8" t="s">
        <v>28</v>
      </c>
      <c r="L252" s="10">
        <v>113739.58</v>
      </c>
      <c r="M252" s="8" t="s">
        <v>42</v>
      </c>
      <c r="N252" s="9">
        <v>0</v>
      </c>
      <c r="O252" s="8" t="s">
        <v>30</v>
      </c>
      <c r="P252" t="str">
        <f>TEXT(Table1[[#This Row],[Transaction_Date]],"mmm")</f>
        <v>Jan</v>
      </c>
      <c r="Q252" s="11">
        <v>45660</v>
      </c>
      <c r="R252" s="8" t="s">
        <v>727</v>
      </c>
      <c r="S252" s="8" t="s">
        <v>32</v>
      </c>
      <c r="T252" s="9">
        <v>1746.04</v>
      </c>
      <c r="U252" t="s">
        <v>45</v>
      </c>
      <c r="V252" s="8" t="s">
        <v>62</v>
      </c>
      <c r="W252"/>
      <c r="X252"/>
    </row>
    <row r="253" spans="1:24" x14ac:dyDescent="0.3">
      <c r="A253" t="s">
        <v>728</v>
      </c>
      <c r="B253" t="s">
        <v>729</v>
      </c>
      <c r="C253">
        <v>21</v>
      </c>
      <c r="D253" t="s">
        <v>65</v>
      </c>
      <c r="E253" t="s">
        <v>66</v>
      </c>
      <c r="F253" t="s">
        <v>65</v>
      </c>
      <c r="G253" t="s">
        <v>39</v>
      </c>
      <c r="H253" s="8" t="s">
        <v>40</v>
      </c>
      <c r="I253" s="9">
        <v>13864.04</v>
      </c>
      <c r="J253" s="9">
        <v>34908.400000000001</v>
      </c>
      <c r="K253" s="8" t="s">
        <v>68</v>
      </c>
      <c r="L253" s="10">
        <v>25050.83</v>
      </c>
      <c r="M253" s="8" t="s">
        <v>29</v>
      </c>
      <c r="N253" s="9">
        <v>12866.32</v>
      </c>
      <c r="O253" s="8" t="s">
        <v>30</v>
      </c>
      <c r="P253" t="str">
        <f>TEXT(Table1[[#This Row],[Transaction_Date]],"mmm")</f>
        <v>Jul</v>
      </c>
      <c r="Q253" s="11">
        <v>45863</v>
      </c>
      <c r="R253" s="8" t="s">
        <v>730</v>
      </c>
      <c r="S253" s="8" t="s">
        <v>70</v>
      </c>
      <c r="T253" s="9">
        <v>2245.9</v>
      </c>
      <c r="U253" t="s">
        <v>106</v>
      </c>
      <c r="V253" s="8" t="s">
        <v>62</v>
      </c>
      <c r="W253"/>
      <c r="X253"/>
    </row>
    <row r="254" spans="1:24" hidden="1" x14ac:dyDescent="0.3">
      <c r="A254" t="s">
        <v>731</v>
      </c>
      <c r="B254" t="s">
        <v>237</v>
      </c>
      <c r="C254">
        <v>31</v>
      </c>
      <c r="D254" t="s">
        <v>57</v>
      </c>
      <c r="E254" t="s">
        <v>58</v>
      </c>
      <c r="F254" t="s">
        <v>57</v>
      </c>
      <c r="G254" t="s">
        <v>80</v>
      </c>
      <c r="H254" s="8" t="s">
        <v>40</v>
      </c>
      <c r="I254" s="9">
        <v>46779.43</v>
      </c>
      <c r="J254" s="9">
        <v>20333.419999999998</v>
      </c>
      <c r="K254" s="8" t="s">
        <v>74</v>
      </c>
      <c r="L254" s="10">
        <v>0</v>
      </c>
      <c r="M254" s="8" t="s">
        <v>75</v>
      </c>
      <c r="N254" s="9">
        <v>0</v>
      </c>
      <c r="O254" s="8" t="s">
        <v>30</v>
      </c>
      <c r="P254" t="str">
        <f>TEXT(Table1[[#This Row],[Transaction_Date]],"mmm")</f>
        <v>Mar</v>
      </c>
      <c r="Q254" s="11">
        <v>45721</v>
      </c>
      <c r="R254" s="8" t="s">
        <v>732</v>
      </c>
      <c r="S254" s="8" t="s">
        <v>54</v>
      </c>
      <c r="T254" s="9">
        <v>2512.92</v>
      </c>
      <c r="U254" t="s">
        <v>106</v>
      </c>
      <c r="V254" s="8" t="s">
        <v>62</v>
      </c>
      <c r="W254"/>
      <c r="X254"/>
    </row>
    <row r="255" spans="1:24" x14ac:dyDescent="0.3">
      <c r="A255" t="s">
        <v>733</v>
      </c>
      <c r="B255" t="s">
        <v>734</v>
      </c>
      <c r="C255">
        <v>39</v>
      </c>
      <c r="D255" t="s">
        <v>92</v>
      </c>
      <c r="E255" t="s">
        <v>93</v>
      </c>
      <c r="F255" t="s">
        <v>92</v>
      </c>
      <c r="G255" t="s">
        <v>39</v>
      </c>
      <c r="H255" s="8" t="s">
        <v>40</v>
      </c>
      <c r="I255" s="9">
        <v>39789.760000000002</v>
      </c>
      <c r="J255" s="9">
        <v>16058.92</v>
      </c>
      <c r="K255" s="8" t="s">
        <v>74</v>
      </c>
      <c r="L255" s="10">
        <v>0</v>
      </c>
      <c r="M255" s="8" t="s">
        <v>75</v>
      </c>
      <c r="N255" s="9">
        <v>0</v>
      </c>
      <c r="O255" s="8" t="s">
        <v>30</v>
      </c>
      <c r="P255" t="str">
        <f>TEXT(Table1[[#This Row],[Transaction_Date]],"mmm")</f>
        <v>Aug</v>
      </c>
      <c r="Q255" s="11">
        <v>45896</v>
      </c>
      <c r="R255" s="8" t="s">
        <v>735</v>
      </c>
      <c r="S255" s="8" t="s">
        <v>54</v>
      </c>
      <c r="T255" s="9">
        <v>11868.07</v>
      </c>
      <c r="U255" t="s">
        <v>61</v>
      </c>
      <c r="V255" s="8" t="s">
        <v>62</v>
      </c>
      <c r="W255"/>
      <c r="X255"/>
    </row>
    <row r="256" spans="1:24" hidden="1" x14ac:dyDescent="0.3">
      <c r="A256" t="s">
        <v>736</v>
      </c>
      <c r="B256" t="s">
        <v>737</v>
      </c>
      <c r="C256">
        <v>38</v>
      </c>
      <c r="D256" t="s">
        <v>24</v>
      </c>
      <c r="E256" t="s">
        <v>25</v>
      </c>
      <c r="F256" t="s">
        <v>24</v>
      </c>
      <c r="G256" t="s">
        <v>80</v>
      </c>
      <c r="H256" s="8" t="s">
        <v>40</v>
      </c>
      <c r="I256" s="9">
        <v>55870.99</v>
      </c>
      <c r="J256" s="9">
        <v>34696.76</v>
      </c>
      <c r="K256" s="8" t="s">
        <v>74</v>
      </c>
      <c r="L256" s="10">
        <v>0</v>
      </c>
      <c r="M256" s="8" t="s">
        <v>75</v>
      </c>
      <c r="N256" s="9">
        <v>0</v>
      </c>
      <c r="O256" s="8" t="s">
        <v>30</v>
      </c>
      <c r="P256" t="str">
        <f>TEXT(Table1[[#This Row],[Transaction_Date]],"mmm")</f>
        <v>Mar</v>
      </c>
      <c r="Q256" s="11">
        <v>45720</v>
      </c>
      <c r="R256" s="8" t="s">
        <v>738</v>
      </c>
      <c r="S256" s="8" t="s">
        <v>54</v>
      </c>
      <c r="T256" s="9">
        <v>1381.9</v>
      </c>
      <c r="U256" t="s">
        <v>77</v>
      </c>
      <c r="V256" s="8" t="s">
        <v>46</v>
      </c>
      <c r="W256"/>
      <c r="X256"/>
    </row>
    <row r="257" spans="1:24" x14ac:dyDescent="0.3">
      <c r="A257" t="s">
        <v>739</v>
      </c>
      <c r="B257" t="s">
        <v>285</v>
      </c>
      <c r="C257">
        <v>24</v>
      </c>
      <c r="D257" t="s">
        <v>49</v>
      </c>
      <c r="E257" t="s">
        <v>50</v>
      </c>
      <c r="F257" t="s">
        <v>49</v>
      </c>
      <c r="G257" t="s">
        <v>39</v>
      </c>
      <c r="H257" s="8" t="s">
        <v>40</v>
      </c>
      <c r="I257" s="9">
        <v>73523.64</v>
      </c>
      <c r="J257" s="9">
        <v>12252.46</v>
      </c>
      <c r="K257" s="8" t="s">
        <v>28</v>
      </c>
      <c r="L257" s="10">
        <v>45392.160000000003</v>
      </c>
      <c r="M257" s="8" t="s">
        <v>29</v>
      </c>
      <c r="N257" s="9">
        <v>16266.03</v>
      </c>
      <c r="O257" s="8" t="s">
        <v>30</v>
      </c>
      <c r="P257" t="str">
        <f>TEXT(Table1[[#This Row],[Transaction_Date]],"mmm")</f>
        <v>Jun</v>
      </c>
      <c r="Q257" s="11">
        <v>45837</v>
      </c>
      <c r="R257" s="8" t="s">
        <v>740</v>
      </c>
      <c r="S257" s="8" t="s">
        <v>44</v>
      </c>
      <c r="T257" s="9">
        <v>388.57</v>
      </c>
      <c r="U257" t="s">
        <v>45</v>
      </c>
      <c r="V257" s="8" t="s">
        <v>46</v>
      </c>
      <c r="W257"/>
      <c r="X257"/>
    </row>
    <row r="258" spans="1:24" hidden="1" x14ac:dyDescent="0.3">
      <c r="A258" t="s">
        <v>741</v>
      </c>
      <c r="B258" t="s">
        <v>742</v>
      </c>
      <c r="C258">
        <v>29</v>
      </c>
      <c r="D258" t="s">
        <v>37</v>
      </c>
      <c r="E258" t="s">
        <v>38</v>
      </c>
      <c r="F258" t="s">
        <v>37</v>
      </c>
      <c r="G258" t="s">
        <v>80</v>
      </c>
      <c r="H258" s="8" t="s">
        <v>51</v>
      </c>
      <c r="I258" s="9">
        <v>62517.41</v>
      </c>
      <c r="J258" s="9">
        <v>93763.63</v>
      </c>
      <c r="K258" s="8" t="s">
        <v>74</v>
      </c>
      <c r="L258" s="10">
        <v>0</v>
      </c>
      <c r="M258" s="8" t="s">
        <v>75</v>
      </c>
      <c r="N258" s="9">
        <v>0</v>
      </c>
      <c r="O258" s="8" t="s">
        <v>30</v>
      </c>
      <c r="P258" t="str">
        <f>TEXT(Table1[[#This Row],[Transaction_Date]],"mmm")</f>
        <v>Nov</v>
      </c>
      <c r="Q258" s="11">
        <v>45976</v>
      </c>
      <c r="R258" s="8" t="s">
        <v>743</v>
      </c>
      <c r="S258" s="8" t="s">
        <v>44</v>
      </c>
      <c r="T258" s="9">
        <v>14657.87</v>
      </c>
      <c r="U258" t="s">
        <v>71</v>
      </c>
      <c r="V258" s="8" t="s">
        <v>34</v>
      </c>
      <c r="W258"/>
      <c r="X258"/>
    </row>
    <row r="259" spans="1:24" hidden="1" x14ac:dyDescent="0.3">
      <c r="A259" t="s">
        <v>744</v>
      </c>
      <c r="B259" t="s">
        <v>597</v>
      </c>
      <c r="C259">
        <v>27</v>
      </c>
      <c r="D259" t="s">
        <v>65</v>
      </c>
      <c r="E259" t="s">
        <v>66</v>
      </c>
      <c r="F259" t="s">
        <v>65</v>
      </c>
      <c r="G259" t="s">
        <v>80</v>
      </c>
      <c r="H259" s="8" t="s">
        <v>40</v>
      </c>
      <c r="I259" s="9">
        <v>30944.400000000001</v>
      </c>
      <c r="J259" s="9">
        <v>8854.5300000000007</v>
      </c>
      <c r="K259" s="8" t="s">
        <v>68</v>
      </c>
      <c r="L259" s="10">
        <v>114327.8</v>
      </c>
      <c r="M259" s="8" t="s">
        <v>42</v>
      </c>
      <c r="N259" s="9">
        <v>0</v>
      </c>
      <c r="O259" s="8" t="s">
        <v>30</v>
      </c>
      <c r="P259" t="str">
        <f>TEXT(Table1[[#This Row],[Transaction_Date]],"mmm")</f>
        <v>May</v>
      </c>
      <c r="Q259" s="11">
        <v>45805</v>
      </c>
      <c r="R259" s="8" t="s">
        <v>745</v>
      </c>
      <c r="S259" s="8" t="s">
        <v>70</v>
      </c>
      <c r="T259" s="9">
        <v>4190.22</v>
      </c>
      <c r="U259" t="s">
        <v>33</v>
      </c>
      <c r="V259" s="8" t="s">
        <v>46</v>
      </c>
      <c r="W259"/>
      <c r="X259"/>
    </row>
    <row r="260" spans="1:24" hidden="1" x14ac:dyDescent="0.3">
      <c r="A260" t="s">
        <v>746</v>
      </c>
      <c r="B260" t="s">
        <v>276</v>
      </c>
      <c r="C260">
        <v>43</v>
      </c>
      <c r="D260" t="s">
        <v>65</v>
      </c>
      <c r="E260" t="s">
        <v>66</v>
      </c>
      <c r="F260" t="s">
        <v>65</v>
      </c>
      <c r="G260" t="s">
        <v>80</v>
      </c>
      <c r="H260" s="8" t="s">
        <v>40</v>
      </c>
      <c r="I260" s="9">
        <v>53790.41</v>
      </c>
      <c r="J260" s="9">
        <v>13951.06</v>
      </c>
      <c r="K260" s="8" t="s">
        <v>74</v>
      </c>
      <c r="L260" s="10">
        <v>0</v>
      </c>
      <c r="M260" s="8" t="s">
        <v>75</v>
      </c>
      <c r="N260" s="9">
        <v>0</v>
      </c>
      <c r="O260" s="8" t="s">
        <v>30</v>
      </c>
      <c r="P260" t="str">
        <f>TEXT(Table1[[#This Row],[Transaction_Date]],"mmm")</f>
        <v>Apr</v>
      </c>
      <c r="Q260" s="11">
        <v>45752</v>
      </c>
      <c r="R260" s="8" t="s">
        <v>747</v>
      </c>
      <c r="S260" s="8" t="s">
        <v>32</v>
      </c>
      <c r="T260" s="9">
        <v>1309.6400000000001</v>
      </c>
      <c r="U260" t="s">
        <v>106</v>
      </c>
      <c r="V260" s="8" t="s">
        <v>62</v>
      </c>
      <c r="W260"/>
      <c r="X260"/>
    </row>
    <row r="261" spans="1:24" x14ac:dyDescent="0.3">
      <c r="A261" t="s">
        <v>748</v>
      </c>
      <c r="B261" t="s">
        <v>722</v>
      </c>
      <c r="C261">
        <v>50</v>
      </c>
      <c r="D261" t="s">
        <v>92</v>
      </c>
      <c r="E261" t="s">
        <v>93</v>
      </c>
      <c r="F261" t="s">
        <v>92</v>
      </c>
      <c r="G261" t="s">
        <v>39</v>
      </c>
      <c r="H261" s="8" t="s">
        <v>40</v>
      </c>
      <c r="I261" s="9">
        <v>101515.3</v>
      </c>
      <c r="J261" s="9">
        <v>29114.71</v>
      </c>
      <c r="K261" s="8" t="s">
        <v>28</v>
      </c>
      <c r="L261" s="10">
        <v>29288.080000000002</v>
      </c>
      <c r="M261" s="8" t="s">
        <v>29</v>
      </c>
      <c r="N261" s="9">
        <v>16856.259999999998</v>
      </c>
      <c r="O261" s="8" t="s">
        <v>30</v>
      </c>
      <c r="P261" t="str">
        <f>TEXT(Table1[[#This Row],[Transaction_Date]],"mmm")</f>
        <v>Sep</v>
      </c>
      <c r="Q261" s="11">
        <v>45902</v>
      </c>
      <c r="R261" s="8" t="s">
        <v>749</v>
      </c>
      <c r="S261" s="8" t="s">
        <v>44</v>
      </c>
      <c r="T261" s="9">
        <v>1389.01</v>
      </c>
      <c r="U261" t="s">
        <v>33</v>
      </c>
      <c r="V261" s="8" t="s">
        <v>62</v>
      </c>
      <c r="W261"/>
      <c r="X261"/>
    </row>
    <row r="262" spans="1:24" x14ac:dyDescent="0.3">
      <c r="A262" t="s">
        <v>750</v>
      </c>
      <c r="B262" t="s">
        <v>276</v>
      </c>
      <c r="C262">
        <v>33</v>
      </c>
      <c r="D262" t="s">
        <v>37</v>
      </c>
      <c r="E262" t="s">
        <v>38</v>
      </c>
      <c r="F262" t="s">
        <v>37</v>
      </c>
      <c r="G262" t="s">
        <v>39</v>
      </c>
      <c r="H262" s="8" t="s">
        <v>40</v>
      </c>
      <c r="I262" s="9">
        <v>40106.11</v>
      </c>
      <c r="J262" s="9">
        <v>11363.33</v>
      </c>
      <c r="K262" s="8" t="s">
        <v>74</v>
      </c>
      <c r="L262" s="10">
        <v>0</v>
      </c>
      <c r="M262" s="8" t="s">
        <v>75</v>
      </c>
      <c r="N262" s="9">
        <v>0</v>
      </c>
      <c r="O262" s="8" t="s">
        <v>30</v>
      </c>
      <c r="P262" t="str">
        <f>TEXT(Table1[[#This Row],[Transaction_Date]],"mmm")</f>
        <v>Apr</v>
      </c>
      <c r="Q262" s="11">
        <v>45763</v>
      </c>
      <c r="R262" s="8" t="s">
        <v>751</v>
      </c>
      <c r="S262" s="8" t="s">
        <v>32</v>
      </c>
      <c r="T262" s="9">
        <v>2770.87</v>
      </c>
      <c r="U262" t="s">
        <v>45</v>
      </c>
      <c r="V262" s="8" t="s">
        <v>62</v>
      </c>
      <c r="W262"/>
      <c r="X262"/>
    </row>
    <row r="263" spans="1:24" hidden="1" x14ac:dyDescent="0.3">
      <c r="A263" t="s">
        <v>752</v>
      </c>
      <c r="B263" t="s">
        <v>368</v>
      </c>
      <c r="C263">
        <v>67</v>
      </c>
      <c r="D263" t="s">
        <v>49</v>
      </c>
      <c r="E263" t="s">
        <v>50</v>
      </c>
      <c r="F263" t="s">
        <v>49</v>
      </c>
      <c r="G263" t="s">
        <v>80</v>
      </c>
      <c r="H263" s="8" t="s">
        <v>51</v>
      </c>
      <c r="I263" s="9">
        <v>53780.160000000003</v>
      </c>
      <c r="J263" s="9">
        <v>42063.6</v>
      </c>
      <c r="K263" s="8" t="s">
        <v>68</v>
      </c>
      <c r="L263" s="10">
        <v>142967.15</v>
      </c>
      <c r="M263" s="8" t="s">
        <v>29</v>
      </c>
      <c r="N263" s="9">
        <v>55515.59</v>
      </c>
      <c r="O263" s="8" t="s">
        <v>30</v>
      </c>
      <c r="P263" t="str">
        <f>TEXT(Table1[[#This Row],[Transaction_Date]],"mmm")</f>
        <v>Aug</v>
      </c>
      <c r="Q263" s="11">
        <v>45894</v>
      </c>
      <c r="R263" s="8" t="s">
        <v>753</v>
      </c>
      <c r="S263" s="8" t="s">
        <v>70</v>
      </c>
      <c r="T263" s="9">
        <v>838.15</v>
      </c>
      <c r="U263" t="s">
        <v>45</v>
      </c>
      <c r="V263" s="8" t="s">
        <v>62</v>
      </c>
      <c r="W263"/>
      <c r="X263"/>
    </row>
    <row r="264" spans="1:24" hidden="1" x14ac:dyDescent="0.3">
      <c r="A264" t="s">
        <v>754</v>
      </c>
      <c r="B264" t="s">
        <v>755</v>
      </c>
      <c r="C264">
        <v>27</v>
      </c>
      <c r="D264" t="s">
        <v>97</v>
      </c>
      <c r="E264" t="s">
        <v>98</v>
      </c>
      <c r="F264" t="s">
        <v>97</v>
      </c>
      <c r="G264" t="s">
        <v>51</v>
      </c>
      <c r="H264" s="8" t="s">
        <v>40</v>
      </c>
      <c r="I264" s="9">
        <v>56736.41</v>
      </c>
      <c r="J264" s="9">
        <v>66150.990000000005</v>
      </c>
      <c r="K264" s="8" t="s">
        <v>59</v>
      </c>
      <c r="L264" s="10">
        <v>47680.18</v>
      </c>
      <c r="M264" s="8" t="s">
        <v>42</v>
      </c>
      <c r="N264" s="9">
        <v>0</v>
      </c>
      <c r="O264" s="8" t="s">
        <v>30</v>
      </c>
      <c r="P264" t="str">
        <f>TEXT(Table1[[#This Row],[Transaction_Date]],"mmm")</f>
        <v>Jun</v>
      </c>
      <c r="Q264" s="11">
        <v>45833</v>
      </c>
      <c r="R264" s="8" t="s">
        <v>756</v>
      </c>
      <c r="S264" s="8" t="s">
        <v>54</v>
      </c>
      <c r="T264" s="9">
        <v>1430.27</v>
      </c>
      <c r="U264" t="s">
        <v>106</v>
      </c>
      <c r="V264" s="8" t="s">
        <v>62</v>
      </c>
      <c r="W264"/>
      <c r="X264"/>
    </row>
    <row r="265" spans="1:24" hidden="1" x14ac:dyDescent="0.3">
      <c r="A265" t="s">
        <v>757</v>
      </c>
      <c r="B265" t="s">
        <v>568</v>
      </c>
      <c r="C265">
        <v>60</v>
      </c>
      <c r="D265" t="s">
        <v>92</v>
      </c>
      <c r="E265" t="s">
        <v>93</v>
      </c>
      <c r="F265" t="s">
        <v>92</v>
      </c>
      <c r="G265" t="s">
        <v>80</v>
      </c>
      <c r="H265" s="8" t="s">
        <v>51</v>
      </c>
      <c r="I265" s="9">
        <v>75634.14</v>
      </c>
      <c r="J265" s="9">
        <v>28219.5</v>
      </c>
      <c r="K265" s="8" t="s">
        <v>59</v>
      </c>
      <c r="L265" s="10">
        <v>60438.07</v>
      </c>
      <c r="M265" s="8" t="s">
        <v>29</v>
      </c>
      <c r="N265" s="9">
        <v>16161.6</v>
      </c>
      <c r="O265" s="8" t="s">
        <v>30</v>
      </c>
      <c r="P265" t="str">
        <f>TEXT(Table1[[#This Row],[Transaction_Date]],"mmm")</f>
        <v>Jun</v>
      </c>
      <c r="Q265" s="11">
        <v>45819</v>
      </c>
      <c r="R265" s="8" t="s">
        <v>758</v>
      </c>
      <c r="S265" s="8" t="s">
        <v>32</v>
      </c>
      <c r="T265" s="9">
        <v>36743.919999999998</v>
      </c>
      <c r="U265" t="s">
        <v>106</v>
      </c>
      <c r="V265" s="8" t="s">
        <v>62</v>
      </c>
      <c r="W265"/>
      <c r="X265"/>
    </row>
    <row r="266" spans="1:24" hidden="1" x14ac:dyDescent="0.3">
      <c r="A266" t="s">
        <v>759</v>
      </c>
      <c r="B266" t="s">
        <v>760</v>
      </c>
      <c r="C266">
        <v>18</v>
      </c>
      <c r="D266" t="s">
        <v>57</v>
      </c>
      <c r="E266" t="s">
        <v>58</v>
      </c>
      <c r="F266" t="s">
        <v>57</v>
      </c>
      <c r="G266" t="s">
        <v>26</v>
      </c>
      <c r="H266" s="8" t="s">
        <v>27</v>
      </c>
      <c r="I266" s="9">
        <v>69358.22</v>
      </c>
      <c r="J266" s="9">
        <v>48988.53</v>
      </c>
      <c r="K266" s="8" t="s">
        <v>68</v>
      </c>
      <c r="L266" s="10">
        <v>25507.67</v>
      </c>
      <c r="M266" s="8" t="s">
        <v>29</v>
      </c>
      <c r="N266" s="9">
        <v>16454.900000000001</v>
      </c>
      <c r="O266" s="8" t="s">
        <v>30</v>
      </c>
      <c r="P266" t="str">
        <f>TEXT(Table1[[#This Row],[Transaction_Date]],"mmm")</f>
        <v>Jul</v>
      </c>
      <c r="Q266" s="11">
        <v>45855</v>
      </c>
      <c r="R266" s="8" t="s">
        <v>761</v>
      </c>
      <c r="S266" s="8" t="s">
        <v>70</v>
      </c>
      <c r="T266" s="9">
        <v>2742.45</v>
      </c>
      <c r="U266" t="s">
        <v>71</v>
      </c>
      <c r="V266" s="8" t="s">
        <v>62</v>
      </c>
      <c r="W266"/>
      <c r="X266"/>
    </row>
    <row r="267" spans="1:24" hidden="1" x14ac:dyDescent="0.3">
      <c r="A267" t="s">
        <v>762</v>
      </c>
      <c r="B267" t="s">
        <v>359</v>
      </c>
      <c r="C267">
        <v>18</v>
      </c>
      <c r="D267" t="s">
        <v>65</v>
      </c>
      <c r="E267" t="s">
        <v>66</v>
      </c>
      <c r="F267" t="s">
        <v>65</v>
      </c>
      <c r="G267" t="s">
        <v>51</v>
      </c>
      <c r="H267" s="8" t="s">
        <v>40</v>
      </c>
      <c r="I267" s="9">
        <v>38327.160000000003</v>
      </c>
      <c r="J267" s="9">
        <v>8621.31</v>
      </c>
      <c r="K267" s="8" t="s">
        <v>74</v>
      </c>
      <c r="L267" s="10">
        <v>0</v>
      </c>
      <c r="M267" s="8" t="s">
        <v>75</v>
      </c>
      <c r="N267" s="9">
        <v>0</v>
      </c>
      <c r="O267" s="8" t="s">
        <v>30</v>
      </c>
      <c r="P267" t="str">
        <f>TEXT(Table1[[#This Row],[Transaction_Date]],"mmm")</f>
        <v>Jul</v>
      </c>
      <c r="Q267" s="11">
        <v>45847</v>
      </c>
      <c r="R267" s="8" t="s">
        <v>763</v>
      </c>
      <c r="S267" s="8" t="s">
        <v>70</v>
      </c>
      <c r="T267" s="9">
        <v>5477.52</v>
      </c>
      <c r="U267" t="s">
        <v>106</v>
      </c>
      <c r="V267" s="8" t="s">
        <v>62</v>
      </c>
      <c r="W267"/>
      <c r="X267"/>
    </row>
    <row r="268" spans="1:24" x14ac:dyDescent="0.3">
      <c r="A268" t="s">
        <v>764</v>
      </c>
      <c r="B268" t="s">
        <v>311</v>
      </c>
      <c r="C268">
        <v>71</v>
      </c>
      <c r="D268" t="s">
        <v>84</v>
      </c>
      <c r="E268" t="s">
        <v>85</v>
      </c>
      <c r="F268" t="s">
        <v>84</v>
      </c>
      <c r="G268" t="s">
        <v>39</v>
      </c>
      <c r="H268" s="8" t="s">
        <v>51</v>
      </c>
      <c r="I268" s="9">
        <v>53626.95</v>
      </c>
      <c r="J268" s="9">
        <v>9839.6299999999992</v>
      </c>
      <c r="K268" s="8" t="s">
        <v>28</v>
      </c>
      <c r="L268" s="10">
        <v>57003.28</v>
      </c>
      <c r="M268" s="8" t="s">
        <v>29</v>
      </c>
      <c r="N268" s="9">
        <v>14214.27</v>
      </c>
      <c r="O268" s="8" t="s">
        <v>228</v>
      </c>
      <c r="P268" t="str">
        <f>TEXT(Table1[[#This Row],[Transaction_Date]],"mmm")</f>
        <v>Jul</v>
      </c>
      <c r="Q268" s="11">
        <v>45850</v>
      </c>
      <c r="R268" s="8" t="s">
        <v>765</v>
      </c>
      <c r="S268" s="8" t="s">
        <v>44</v>
      </c>
      <c r="T268" s="9">
        <v>3723.8</v>
      </c>
      <c r="U268" t="s">
        <v>77</v>
      </c>
      <c r="V268" s="8" t="s">
        <v>62</v>
      </c>
      <c r="W268"/>
      <c r="X268"/>
    </row>
    <row r="269" spans="1:24" x14ac:dyDescent="0.3">
      <c r="A269" t="s">
        <v>766</v>
      </c>
      <c r="B269" t="s">
        <v>194</v>
      </c>
      <c r="C269">
        <v>52</v>
      </c>
      <c r="D269" t="s">
        <v>37</v>
      </c>
      <c r="E269" t="s">
        <v>38</v>
      </c>
      <c r="F269" t="s">
        <v>37</v>
      </c>
      <c r="G269" t="s">
        <v>39</v>
      </c>
      <c r="H269" s="8" t="s">
        <v>40</v>
      </c>
      <c r="I269" s="9">
        <v>37638.879999999997</v>
      </c>
      <c r="J269" s="9">
        <v>60686.87</v>
      </c>
      <c r="K269" s="8" t="s">
        <v>74</v>
      </c>
      <c r="L269" s="10">
        <v>0</v>
      </c>
      <c r="M269" s="8" t="s">
        <v>75</v>
      </c>
      <c r="N269" s="9">
        <v>0</v>
      </c>
      <c r="O269" s="8" t="s">
        <v>30</v>
      </c>
      <c r="P269" t="str">
        <f>TEXT(Table1[[#This Row],[Transaction_Date]],"mmm")</f>
        <v>Jul</v>
      </c>
      <c r="Q269" s="11">
        <v>45869</v>
      </c>
      <c r="R269" s="8" t="s">
        <v>767</v>
      </c>
      <c r="S269" s="8" t="s">
        <v>70</v>
      </c>
      <c r="T269" s="9">
        <v>4211.67</v>
      </c>
      <c r="U269" t="s">
        <v>71</v>
      </c>
      <c r="V269" s="8" t="s">
        <v>62</v>
      </c>
      <c r="W269"/>
      <c r="X269"/>
    </row>
    <row r="270" spans="1:24" x14ac:dyDescent="0.3">
      <c r="A270" t="s">
        <v>768</v>
      </c>
      <c r="B270" t="s">
        <v>254</v>
      </c>
      <c r="C270">
        <v>59</v>
      </c>
      <c r="D270" t="s">
        <v>49</v>
      </c>
      <c r="E270" t="s">
        <v>50</v>
      </c>
      <c r="F270" t="s">
        <v>49</v>
      </c>
      <c r="G270" t="s">
        <v>39</v>
      </c>
      <c r="H270" s="8" t="s">
        <v>51</v>
      </c>
      <c r="I270" s="9">
        <v>53227.55</v>
      </c>
      <c r="J270" s="9">
        <v>24336.9</v>
      </c>
      <c r="K270" s="8" t="s">
        <v>74</v>
      </c>
      <c r="L270" s="10">
        <v>0</v>
      </c>
      <c r="M270" s="8" t="s">
        <v>75</v>
      </c>
      <c r="N270" s="9">
        <v>0</v>
      </c>
      <c r="O270" s="8" t="s">
        <v>30</v>
      </c>
      <c r="P270" t="str">
        <f>TEXT(Table1[[#This Row],[Transaction_Date]],"mmm")</f>
        <v>Dec</v>
      </c>
      <c r="Q270" s="11">
        <v>46022</v>
      </c>
      <c r="R270" s="8" t="s">
        <v>769</v>
      </c>
      <c r="S270" s="8" t="s">
        <v>32</v>
      </c>
      <c r="T270" s="9">
        <v>296.39999999999998</v>
      </c>
      <c r="U270" t="s">
        <v>71</v>
      </c>
      <c r="V270" s="8" t="s">
        <v>62</v>
      </c>
      <c r="W270"/>
      <c r="X270"/>
    </row>
    <row r="271" spans="1:24" x14ac:dyDescent="0.3">
      <c r="A271" t="s">
        <v>770</v>
      </c>
      <c r="B271" t="s">
        <v>771</v>
      </c>
      <c r="C271">
        <v>18</v>
      </c>
      <c r="D271" t="s">
        <v>84</v>
      </c>
      <c r="E271" t="s">
        <v>85</v>
      </c>
      <c r="F271" t="s">
        <v>84</v>
      </c>
      <c r="G271" t="s">
        <v>39</v>
      </c>
      <c r="H271" s="8" t="s">
        <v>40</v>
      </c>
      <c r="I271" s="9">
        <v>80970.8</v>
      </c>
      <c r="J271" s="9">
        <v>28464.34</v>
      </c>
      <c r="K271" s="8" t="s">
        <v>59</v>
      </c>
      <c r="L271" s="10">
        <v>330645.3</v>
      </c>
      <c r="M271" s="8" t="s">
        <v>29</v>
      </c>
      <c r="N271" s="9">
        <v>224286.83</v>
      </c>
      <c r="O271" s="8" t="s">
        <v>30</v>
      </c>
      <c r="P271" t="str">
        <f>TEXT(Table1[[#This Row],[Transaction_Date]],"mmm")</f>
        <v>Oct</v>
      </c>
      <c r="Q271" s="11">
        <v>45951</v>
      </c>
      <c r="R271" s="8" t="s">
        <v>772</v>
      </c>
      <c r="S271" s="8" t="s">
        <v>70</v>
      </c>
      <c r="T271" s="9">
        <v>1519.41</v>
      </c>
      <c r="U271" t="s">
        <v>77</v>
      </c>
      <c r="V271" s="8" t="s">
        <v>62</v>
      </c>
      <c r="W271"/>
      <c r="X271"/>
    </row>
    <row r="272" spans="1:24" hidden="1" x14ac:dyDescent="0.3">
      <c r="A272" t="s">
        <v>773</v>
      </c>
      <c r="B272" t="s">
        <v>774</v>
      </c>
      <c r="C272">
        <v>19</v>
      </c>
      <c r="D272" t="s">
        <v>97</v>
      </c>
      <c r="E272" t="s">
        <v>98</v>
      </c>
      <c r="F272" t="s">
        <v>97</v>
      </c>
      <c r="G272" t="s">
        <v>51</v>
      </c>
      <c r="H272" s="8" t="s">
        <v>40</v>
      </c>
      <c r="I272" s="9">
        <v>85055.4</v>
      </c>
      <c r="J272" s="9">
        <v>12813.78</v>
      </c>
      <c r="K272" s="8" t="s">
        <v>41</v>
      </c>
      <c r="L272" s="10">
        <v>40563.83</v>
      </c>
      <c r="M272" s="8" t="s">
        <v>29</v>
      </c>
      <c r="N272" s="9">
        <v>29461.66</v>
      </c>
      <c r="O272" s="8" t="s">
        <v>30</v>
      </c>
      <c r="P272" t="str">
        <f>TEXT(Table1[[#This Row],[Transaction_Date]],"mmm")</f>
        <v>Feb</v>
      </c>
      <c r="Q272" s="11">
        <v>45708</v>
      </c>
      <c r="R272" s="8" t="s">
        <v>775</v>
      </c>
      <c r="S272" s="8" t="s">
        <v>32</v>
      </c>
      <c r="T272" s="9">
        <v>18166.46</v>
      </c>
      <c r="U272" t="s">
        <v>77</v>
      </c>
      <c r="V272" s="8" t="s">
        <v>46</v>
      </c>
      <c r="W272"/>
      <c r="X272"/>
    </row>
    <row r="273" spans="1:24" hidden="1" x14ac:dyDescent="0.3">
      <c r="A273" t="s">
        <v>776</v>
      </c>
      <c r="B273" t="s">
        <v>777</v>
      </c>
      <c r="C273">
        <v>47</v>
      </c>
      <c r="D273" t="s">
        <v>37</v>
      </c>
      <c r="E273" t="s">
        <v>38</v>
      </c>
      <c r="F273" t="s">
        <v>37</v>
      </c>
      <c r="G273" t="s">
        <v>80</v>
      </c>
      <c r="H273" s="8" t="s">
        <v>40</v>
      </c>
      <c r="I273" s="9">
        <v>28815.62</v>
      </c>
      <c r="J273" s="9">
        <v>54629.599999999999</v>
      </c>
      <c r="K273" s="8" t="s">
        <v>74</v>
      </c>
      <c r="L273" s="10">
        <v>0</v>
      </c>
      <c r="M273" s="8" t="s">
        <v>75</v>
      </c>
      <c r="N273" s="9">
        <v>0</v>
      </c>
      <c r="O273" s="8" t="s">
        <v>30</v>
      </c>
      <c r="P273" t="str">
        <f>TEXT(Table1[[#This Row],[Transaction_Date]],"mmm")</f>
        <v>Dec</v>
      </c>
      <c r="Q273" s="11">
        <v>46005</v>
      </c>
      <c r="R273" s="8" t="s">
        <v>778</v>
      </c>
      <c r="S273" s="8" t="s">
        <v>32</v>
      </c>
      <c r="T273" s="9">
        <v>6189.95</v>
      </c>
      <c r="U273" t="s">
        <v>33</v>
      </c>
      <c r="V273" s="8" t="s">
        <v>62</v>
      </c>
      <c r="W273"/>
      <c r="X273"/>
    </row>
    <row r="274" spans="1:24" x14ac:dyDescent="0.3">
      <c r="A274" t="s">
        <v>779</v>
      </c>
      <c r="B274" t="s">
        <v>243</v>
      </c>
      <c r="C274">
        <v>18</v>
      </c>
      <c r="D274" t="s">
        <v>84</v>
      </c>
      <c r="E274" t="s">
        <v>85</v>
      </c>
      <c r="F274" t="s">
        <v>84</v>
      </c>
      <c r="G274" t="s">
        <v>39</v>
      </c>
      <c r="H274" s="8" t="s">
        <v>27</v>
      </c>
      <c r="I274" s="9">
        <v>65079.7</v>
      </c>
      <c r="J274" s="9">
        <v>51784.88</v>
      </c>
      <c r="K274" s="8" t="s">
        <v>52</v>
      </c>
      <c r="L274" s="10">
        <v>28715.98</v>
      </c>
      <c r="M274" s="8" t="s">
        <v>42</v>
      </c>
      <c r="N274" s="9">
        <v>0</v>
      </c>
      <c r="O274" s="8" t="s">
        <v>30</v>
      </c>
      <c r="P274" t="str">
        <f>TEXT(Table1[[#This Row],[Transaction_Date]],"mmm")</f>
        <v>Jul</v>
      </c>
      <c r="Q274" s="11">
        <v>45865</v>
      </c>
      <c r="R274" s="8" t="s">
        <v>780</v>
      </c>
      <c r="S274" s="8" t="s">
        <v>54</v>
      </c>
      <c r="T274" s="9">
        <v>5679.16</v>
      </c>
      <c r="U274" t="s">
        <v>45</v>
      </c>
      <c r="V274" s="8" t="s">
        <v>46</v>
      </c>
      <c r="W274"/>
      <c r="X274"/>
    </row>
    <row r="275" spans="1:24" hidden="1" x14ac:dyDescent="0.3">
      <c r="A275" t="s">
        <v>781</v>
      </c>
      <c r="B275" t="s">
        <v>415</v>
      </c>
      <c r="C275">
        <v>37</v>
      </c>
      <c r="D275" t="s">
        <v>57</v>
      </c>
      <c r="E275" t="s">
        <v>58</v>
      </c>
      <c r="F275" t="s">
        <v>57</v>
      </c>
      <c r="G275" t="s">
        <v>26</v>
      </c>
      <c r="H275" s="8" t="s">
        <v>40</v>
      </c>
      <c r="I275" s="9">
        <v>42161.599999999999</v>
      </c>
      <c r="J275" s="9">
        <v>86280.52</v>
      </c>
      <c r="K275" s="8" t="s">
        <v>28</v>
      </c>
      <c r="L275" s="10">
        <v>47926.32</v>
      </c>
      <c r="M275" s="8" t="s">
        <v>29</v>
      </c>
      <c r="N275" s="9">
        <v>19019.7</v>
      </c>
      <c r="O275" s="8" t="s">
        <v>30</v>
      </c>
      <c r="P275" t="str">
        <f>TEXT(Table1[[#This Row],[Transaction_Date]],"mmm")</f>
        <v>Nov</v>
      </c>
      <c r="Q275" s="11">
        <v>45963</v>
      </c>
      <c r="R275" s="8" t="s">
        <v>782</v>
      </c>
      <c r="S275" s="8" t="s">
        <v>44</v>
      </c>
      <c r="T275" s="9">
        <v>1875.69</v>
      </c>
      <c r="U275" t="s">
        <v>77</v>
      </c>
      <c r="V275" s="8" t="s">
        <v>62</v>
      </c>
      <c r="W275"/>
      <c r="X275"/>
    </row>
    <row r="276" spans="1:24" x14ac:dyDescent="0.3">
      <c r="A276" t="s">
        <v>783</v>
      </c>
      <c r="B276" t="s">
        <v>784</v>
      </c>
      <c r="C276">
        <v>24</v>
      </c>
      <c r="D276" t="s">
        <v>92</v>
      </c>
      <c r="E276" t="s">
        <v>93</v>
      </c>
      <c r="F276" t="s">
        <v>92</v>
      </c>
      <c r="G276" t="s">
        <v>39</v>
      </c>
      <c r="H276" s="8" t="s">
        <v>27</v>
      </c>
      <c r="I276" s="9">
        <v>52330.84</v>
      </c>
      <c r="J276" s="9">
        <v>18270.39</v>
      </c>
      <c r="K276" s="8" t="s">
        <v>68</v>
      </c>
      <c r="L276" s="10">
        <v>44105.4</v>
      </c>
      <c r="M276" s="8" t="s">
        <v>29</v>
      </c>
      <c r="N276" s="9">
        <v>12674.06</v>
      </c>
      <c r="O276" s="8" t="s">
        <v>30</v>
      </c>
      <c r="P276" t="str">
        <f>TEXT(Table1[[#This Row],[Transaction_Date]],"mmm")</f>
        <v>Oct</v>
      </c>
      <c r="Q276" s="11">
        <v>45949</v>
      </c>
      <c r="R276" s="8" t="s">
        <v>785</v>
      </c>
      <c r="S276" s="8" t="s">
        <v>70</v>
      </c>
      <c r="T276" s="9">
        <v>3374.21</v>
      </c>
      <c r="U276" t="s">
        <v>33</v>
      </c>
      <c r="V276" s="8" t="s">
        <v>62</v>
      </c>
      <c r="W276"/>
      <c r="X276"/>
    </row>
    <row r="277" spans="1:24" x14ac:dyDescent="0.3">
      <c r="A277" t="s">
        <v>786</v>
      </c>
      <c r="B277" t="s">
        <v>787</v>
      </c>
      <c r="C277">
        <v>28</v>
      </c>
      <c r="D277" t="s">
        <v>24</v>
      </c>
      <c r="E277" t="s">
        <v>25</v>
      </c>
      <c r="F277" t="s">
        <v>24</v>
      </c>
      <c r="G277" t="s">
        <v>39</v>
      </c>
      <c r="H277" s="8" t="s">
        <v>40</v>
      </c>
      <c r="I277" s="9">
        <v>21058.11</v>
      </c>
      <c r="J277" s="9">
        <v>73073.210000000006</v>
      </c>
      <c r="K277" s="8" t="s">
        <v>74</v>
      </c>
      <c r="L277" s="10">
        <v>0</v>
      </c>
      <c r="M277" s="8" t="s">
        <v>75</v>
      </c>
      <c r="N277" s="9">
        <v>0</v>
      </c>
      <c r="O277" s="8" t="s">
        <v>30</v>
      </c>
      <c r="P277" t="str">
        <f>TEXT(Table1[[#This Row],[Transaction_Date]],"mmm")</f>
        <v>Feb</v>
      </c>
      <c r="Q277" s="11">
        <v>45696</v>
      </c>
      <c r="R277" s="8" t="s">
        <v>788</v>
      </c>
      <c r="S277" s="8" t="s">
        <v>32</v>
      </c>
      <c r="T277" s="9">
        <v>3459.62</v>
      </c>
      <c r="U277" t="s">
        <v>45</v>
      </c>
      <c r="V277" s="8" t="s">
        <v>62</v>
      </c>
      <c r="W277"/>
      <c r="X277"/>
    </row>
    <row r="278" spans="1:24" hidden="1" x14ac:dyDescent="0.3">
      <c r="A278" t="s">
        <v>789</v>
      </c>
      <c r="B278" t="s">
        <v>790</v>
      </c>
      <c r="C278">
        <v>55</v>
      </c>
      <c r="D278" t="s">
        <v>92</v>
      </c>
      <c r="E278" t="s">
        <v>93</v>
      </c>
      <c r="F278" t="s">
        <v>92</v>
      </c>
      <c r="G278" t="s">
        <v>80</v>
      </c>
      <c r="H278" s="8" t="s">
        <v>51</v>
      </c>
      <c r="I278" s="9">
        <v>32617.09</v>
      </c>
      <c r="J278" s="9">
        <v>39207.769999999997</v>
      </c>
      <c r="K278" s="8" t="s">
        <v>68</v>
      </c>
      <c r="L278" s="10">
        <v>28642.83</v>
      </c>
      <c r="M278" s="8" t="s">
        <v>29</v>
      </c>
      <c r="N278" s="9">
        <v>22950.45</v>
      </c>
      <c r="O278" s="8" t="s">
        <v>30</v>
      </c>
      <c r="P278" t="str">
        <f>TEXT(Table1[[#This Row],[Transaction_Date]],"mmm")</f>
        <v>Apr</v>
      </c>
      <c r="Q278" s="11">
        <v>45752</v>
      </c>
      <c r="R278" s="8" t="s">
        <v>791</v>
      </c>
      <c r="S278" s="8" t="s">
        <v>32</v>
      </c>
      <c r="T278" s="9">
        <v>413.44</v>
      </c>
      <c r="U278" t="s">
        <v>33</v>
      </c>
      <c r="V278" s="8" t="s">
        <v>46</v>
      </c>
      <c r="W278"/>
      <c r="X278"/>
    </row>
    <row r="279" spans="1:24" hidden="1" x14ac:dyDescent="0.3">
      <c r="A279" t="s">
        <v>792</v>
      </c>
      <c r="B279" t="s">
        <v>665</v>
      </c>
      <c r="C279">
        <v>44</v>
      </c>
      <c r="D279" t="s">
        <v>49</v>
      </c>
      <c r="E279" t="s">
        <v>50</v>
      </c>
      <c r="F279" t="s">
        <v>49</v>
      </c>
      <c r="G279" t="s">
        <v>51</v>
      </c>
      <c r="H279" s="8" t="s">
        <v>40</v>
      </c>
      <c r="I279" s="9">
        <v>40151.449999999997</v>
      </c>
      <c r="J279" s="9">
        <v>67854.03</v>
      </c>
      <c r="K279" s="8" t="s">
        <v>74</v>
      </c>
      <c r="L279" s="10">
        <v>0</v>
      </c>
      <c r="M279" s="8" t="s">
        <v>75</v>
      </c>
      <c r="N279" s="9">
        <v>0</v>
      </c>
      <c r="O279" s="8" t="s">
        <v>30</v>
      </c>
      <c r="P279" t="str">
        <f>TEXT(Table1[[#This Row],[Transaction_Date]],"mmm")</f>
        <v>Sep</v>
      </c>
      <c r="Q279" s="11">
        <v>45928</v>
      </c>
      <c r="R279" s="8" t="s">
        <v>793</v>
      </c>
      <c r="S279" s="8" t="s">
        <v>70</v>
      </c>
      <c r="T279" s="9">
        <v>1992.06</v>
      </c>
      <c r="U279" t="s">
        <v>71</v>
      </c>
      <c r="V279" s="8" t="s">
        <v>34</v>
      </c>
      <c r="W279"/>
      <c r="X279"/>
    </row>
    <row r="280" spans="1:24" hidden="1" x14ac:dyDescent="0.3">
      <c r="A280" t="s">
        <v>794</v>
      </c>
      <c r="B280" t="s">
        <v>135</v>
      </c>
      <c r="C280">
        <v>35</v>
      </c>
      <c r="D280" t="s">
        <v>92</v>
      </c>
      <c r="E280" t="s">
        <v>93</v>
      </c>
      <c r="F280" t="s">
        <v>92</v>
      </c>
      <c r="G280" t="s">
        <v>80</v>
      </c>
      <c r="H280" s="8" t="s">
        <v>40</v>
      </c>
      <c r="I280" s="9">
        <v>62168.5</v>
      </c>
      <c r="J280" s="9">
        <v>19698.71</v>
      </c>
      <c r="K280" s="8" t="s">
        <v>28</v>
      </c>
      <c r="L280" s="10">
        <v>148191.53</v>
      </c>
      <c r="M280" s="8" t="s">
        <v>29</v>
      </c>
      <c r="N280" s="9">
        <v>118529.15</v>
      </c>
      <c r="O280" s="8" t="s">
        <v>30</v>
      </c>
      <c r="P280" t="str">
        <f>TEXT(Table1[[#This Row],[Transaction_Date]],"mmm")</f>
        <v>Jun</v>
      </c>
      <c r="Q280" s="11">
        <v>45829</v>
      </c>
      <c r="R280" s="8" t="s">
        <v>795</v>
      </c>
      <c r="S280" s="8" t="s">
        <v>32</v>
      </c>
      <c r="T280" s="9">
        <v>182.94</v>
      </c>
      <c r="U280" t="s">
        <v>71</v>
      </c>
      <c r="V280" s="8" t="s">
        <v>62</v>
      </c>
      <c r="W280"/>
      <c r="X280"/>
    </row>
    <row r="281" spans="1:24" x14ac:dyDescent="0.3">
      <c r="A281" t="s">
        <v>796</v>
      </c>
      <c r="B281" t="s">
        <v>276</v>
      </c>
      <c r="C281">
        <v>19</v>
      </c>
      <c r="D281" t="s">
        <v>92</v>
      </c>
      <c r="E281" t="s">
        <v>93</v>
      </c>
      <c r="F281" t="s">
        <v>92</v>
      </c>
      <c r="G281" t="s">
        <v>39</v>
      </c>
      <c r="H281" s="8" t="s">
        <v>40</v>
      </c>
      <c r="I281" s="9">
        <v>41489.300000000003</v>
      </c>
      <c r="J281" s="9">
        <v>27348.5</v>
      </c>
      <c r="K281" s="8" t="s">
        <v>68</v>
      </c>
      <c r="L281" s="10">
        <v>66551.88</v>
      </c>
      <c r="M281" s="8" t="s">
        <v>29</v>
      </c>
      <c r="N281" s="9">
        <v>46579.09</v>
      </c>
      <c r="O281" s="8" t="s">
        <v>30</v>
      </c>
      <c r="P281" t="str">
        <f>TEXT(Table1[[#This Row],[Transaction_Date]],"mmm")</f>
        <v>May</v>
      </c>
      <c r="Q281" s="11">
        <v>45780</v>
      </c>
      <c r="R281" s="8" t="s">
        <v>797</v>
      </c>
      <c r="S281" s="8" t="s">
        <v>54</v>
      </c>
      <c r="T281" s="9">
        <v>20436.93</v>
      </c>
      <c r="U281" t="s">
        <v>71</v>
      </c>
      <c r="V281" s="8" t="s">
        <v>46</v>
      </c>
      <c r="W281"/>
      <c r="X281"/>
    </row>
    <row r="282" spans="1:24" hidden="1" x14ac:dyDescent="0.3">
      <c r="A282" t="s">
        <v>798</v>
      </c>
      <c r="B282" t="s">
        <v>483</v>
      </c>
      <c r="C282">
        <v>31</v>
      </c>
      <c r="D282" t="s">
        <v>37</v>
      </c>
      <c r="E282" t="s">
        <v>38</v>
      </c>
      <c r="F282" t="s">
        <v>37</v>
      </c>
      <c r="G282" t="s">
        <v>26</v>
      </c>
      <c r="H282" s="8" t="s">
        <v>40</v>
      </c>
      <c r="I282" s="9">
        <v>36763.589999999997</v>
      </c>
      <c r="J282" s="9">
        <v>21836.02</v>
      </c>
      <c r="K282" s="8" t="s">
        <v>74</v>
      </c>
      <c r="L282" s="10">
        <v>0</v>
      </c>
      <c r="M282" s="8" t="s">
        <v>75</v>
      </c>
      <c r="N282" s="9">
        <v>0</v>
      </c>
      <c r="O282" s="8" t="s">
        <v>30</v>
      </c>
      <c r="P282" t="str">
        <f>TEXT(Table1[[#This Row],[Transaction_Date]],"mmm")</f>
        <v>Jun</v>
      </c>
      <c r="Q282" s="11">
        <v>45832</v>
      </c>
      <c r="R282" s="8" t="s">
        <v>799</v>
      </c>
      <c r="S282" s="8" t="s">
        <v>70</v>
      </c>
      <c r="T282" s="9">
        <v>1600.86</v>
      </c>
      <c r="U282" t="s">
        <v>61</v>
      </c>
      <c r="V282" s="8" t="s">
        <v>62</v>
      </c>
      <c r="W282"/>
      <c r="X282"/>
    </row>
    <row r="283" spans="1:24" x14ac:dyDescent="0.3">
      <c r="A283" t="s">
        <v>800</v>
      </c>
      <c r="B283" t="s">
        <v>152</v>
      </c>
      <c r="C283">
        <v>39</v>
      </c>
      <c r="D283" t="s">
        <v>24</v>
      </c>
      <c r="E283" t="s">
        <v>25</v>
      </c>
      <c r="F283" t="s">
        <v>24</v>
      </c>
      <c r="G283" t="s">
        <v>39</v>
      </c>
      <c r="H283" s="8" t="s">
        <v>67</v>
      </c>
      <c r="I283" s="9">
        <v>12000</v>
      </c>
      <c r="J283" s="9">
        <v>55205.87</v>
      </c>
      <c r="K283" s="8" t="s">
        <v>74</v>
      </c>
      <c r="L283" s="10">
        <v>0</v>
      </c>
      <c r="M283" s="8" t="s">
        <v>75</v>
      </c>
      <c r="N283" s="9">
        <v>0</v>
      </c>
      <c r="O283" s="8" t="s">
        <v>30</v>
      </c>
      <c r="P283" t="str">
        <f>TEXT(Table1[[#This Row],[Transaction_Date]],"mmm")</f>
        <v>Sep</v>
      </c>
      <c r="Q283" s="11">
        <v>45923</v>
      </c>
      <c r="R283" s="8" t="s">
        <v>801</v>
      </c>
      <c r="S283" s="8" t="s">
        <v>32</v>
      </c>
      <c r="T283" s="9">
        <v>8061.28</v>
      </c>
      <c r="U283" t="s">
        <v>77</v>
      </c>
      <c r="V283" s="8" t="s">
        <v>62</v>
      </c>
      <c r="W283"/>
      <c r="X283"/>
    </row>
    <row r="284" spans="1:24" x14ac:dyDescent="0.3">
      <c r="A284" t="s">
        <v>802</v>
      </c>
      <c r="B284" t="s">
        <v>670</v>
      </c>
      <c r="C284">
        <v>45</v>
      </c>
      <c r="D284" t="s">
        <v>24</v>
      </c>
      <c r="E284" t="s">
        <v>25</v>
      </c>
      <c r="F284" t="s">
        <v>24</v>
      </c>
      <c r="G284" t="s">
        <v>39</v>
      </c>
      <c r="H284" s="8" t="s">
        <v>27</v>
      </c>
      <c r="I284" s="9">
        <v>62021.53</v>
      </c>
      <c r="J284" s="9">
        <v>44178.48</v>
      </c>
      <c r="K284" s="8" t="s">
        <v>74</v>
      </c>
      <c r="L284" s="10">
        <v>0</v>
      </c>
      <c r="M284" s="8" t="s">
        <v>75</v>
      </c>
      <c r="N284" s="9">
        <v>0</v>
      </c>
      <c r="O284" s="8" t="s">
        <v>30</v>
      </c>
      <c r="P284" t="str">
        <f>TEXT(Table1[[#This Row],[Transaction_Date]],"mmm")</f>
        <v>Jan</v>
      </c>
      <c r="Q284" s="11">
        <v>45675</v>
      </c>
      <c r="R284" s="8" t="s">
        <v>803</v>
      </c>
      <c r="S284" s="8" t="s">
        <v>32</v>
      </c>
      <c r="T284" s="9">
        <v>2378.79</v>
      </c>
      <c r="U284" t="s">
        <v>33</v>
      </c>
      <c r="V284" s="8" t="s">
        <v>62</v>
      </c>
      <c r="W284"/>
      <c r="X284"/>
    </row>
    <row r="285" spans="1:24" x14ac:dyDescent="0.3">
      <c r="A285" t="s">
        <v>804</v>
      </c>
      <c r="B285" t="s">
        <v>659</v>
      </c>
      <c r="C285">
        <v>24</v>
      </c>
      <c r="D285" t="s">
        <v>49</v>
      </c>
      <c r="E285" t="s">
        <v>50</v>
      </c>
      <c r="F285" t="s">
        <v>49</v>
      </c>
      <c r="G285" t="s">
        <v>39</v>
      </c>
      <c r="H285" s="8" t="s">
        <v>40</v>
      </c>
      <c r="I285" s="9">
        <v>66638.36</v>
      </c>
      <c r="J285" s="9">
        <v>100321.38</v>
      </c>
      <c r="K285" s="8" t="s">
        <v>52</v>
      </c>
      <c r="L285" s="10">
        <v>62487.13</v>
      </c>
      <c r="M285" s="8" t="s">
        <v>29</v>
      </c>
      <c r="N285" s="9">
        <v>35480.589999999997</v>
      </c>
      <c r="O285" s="8" t="s">
        <v>30</v>
      </c>
      <c r="P285" t="str">
        <f>TEXT(Table1[[#This Row],[Transaction_Date]],"mmm")</f>
        <v>May</v>
      </c>
      <c r="Q285" s="11">
        <v>45805</v>
      </c>
      <c r="R285" s="8" t="s">
        <v>805</v>
      </c>
      <c r="S285" s="8" t="s">
        <v>54</v>
      </c>
      <c r="T285" s="9">
        <v>7763.74</v>
      </c>
      <c r="U285" t="s">
        <v>71</v>
      </c>
      <c r="V285" s="8" t="s">
        <v>46</v>
      </c>
      <c r="W285"/>
      <c r="X285"/>
    </row>
    <row r="286" spans="1:24" x14ac:dyDescent="0.3">
      <c r="A286" t="s">
        <v>806</v>
      </c>
      <c r="B286" t="s">
        <v>807</v>
      </c>
      <c r="C286">
        <v>50</v>
      </c>
      <c r="D286" t="s">
        <v>37</v>
      </c>
      <c r="E286" t="s">
        <v>38</v>
      </c>
      <c r="F286" t="s">
        <v>37</v>
      </c>
      <c r="G286" t="s">
        <v>39</v>
      </c>
      <c r="H286" s="8" t="s">
        <v>40</v>
      </c>
      <c r="I286" s="9">
        <v>30443.65</v>
      </c>
      <c r="J286" s="9">
        <v>63276.94</v>
      </c>
      <c r="K286" s="8" t="s">
        <v>74</v>
      </c>
      <c r="L286" s="10">
        <v>0</v>
      </c>
      <c r="M286" s="8" t="s">
        <v>75</v>
      </c>
      <c r="N286" s="9">
        <v>0</v>
      </c>
      <c r="O286" s="8" t="s">
        <v>30</v>
      </c>
      <c r="P286" t="str">
        <f>TEXT(Table1[[#This Row],[Transaction_Date]],"mmm")</f>
        <v>Jan</v>
      </c>
      <c r="Q286" s="11">
        <v>45671</v>
      </c>
      <c r="R286" s="8" t="s">
        <v>808</v>
      </c>
      <c r="S286" s="8" t="s">
        <v>32</v>
      </c>
      <c r="T286" s="9">
        <v>1263.3699999999999</v>
      </c>
      <c r="U286" t="s">
        <v>106</v>
      </c>
      <c r="V286" s="8" t="s">
        <v>34</v>
      </c>
      <c r="W286"/>
      <c r="X286"/>
    </row>
    <row r="287" spans="1:24" hidden="1" x14ac:dyDescent="0.3">
      <c r="A287" t="s">
        <v>809</v>
      </c>
      <c r="B287" t="s">
        <v>777</v>
      </c>
      <c r="C287">
        <v>21</v>
      </c>
      <c r="D287" t="s">
        <v>49</v>
      </c>
      <c r="E287" t="s">
        <v>50</v>
      </c>
      <c r="F287" t="s">
        <v>49</v>
      </c>
      <c r="G287" t="s">
        <v>80</v>
      </c>
      <c r="H287" s="8" t="s">
        <v>40</v>
      </c>
      <c r="I287" s="9">
        <v>61224.82</v>
      </c>
      <c r="J287" s="9">
        <v>63628.18</v>
      </c>
      <c r="K287" s="8" t="s">
        <v>28</v>
      </c>
      <c r="L287" s="10">
        <v>77249.279999999999</v>
      </c>
      <c r="M287" s="8" t="s">
        <v>29</v>
      </c>
      <c r="N287" s="9">
        <v>55545.16</v>
      </c>
      <c r="O287" s="8" t="s">
        <v>30</v>
      </c>
      <c r="P287" t="str">
        <f>TEXT(Table1[[#This Row],[Transaction_Date]],"mmm")</f>
        <v>Jun</v>
      </c>
      <c r="Q287" s="11">
        <v>45825</v>
      </c>
      <c r="R287" s="8" t="s">
        <v>810</v>
      </c>
      <c r="S287" s="8" t="s">
        <v>70</v>
      </c>
      <c r="T287" s="9">
        <v>3952.1</v>
      </c>
      <c r="U287" t="s">
        <v>71</v>
      </c>
      <c r="V287" s="8" t="s">
        <v>34</v>
      </c>
      <c r="W287"/>
      <c r="X287"/>
    </row>
    <row r="288" spans="1:24" hidden="1" x14ac:dyDescent="0.3">
      <c r="A288" t="s">
        <v>811</v>
      </c>
      <c r="B288" t="s">
        <v>812</v>
      </c>
      <c r="C288">
        <v>39</v>
      </c>
      <c r="D288" t="s">
        <v>97</v>
      </c>
      <c r="E288" t="s">
        <v>98</v>
      </c>
      <c r="F288" t="s">
        <v>97</v>
      </c>
      <c r="G288" t="s">
        <v>51</v>
      </c>
      <c r="H288" s="8" t="s">
        <v>27</v>
      </c>
      <c r="I288" s="9">
        <v>42200.800000000003</v>
      </c>
      <c r="J288" s="9">
        <v>15676.12</v>
      </c>
      <c r="K288" s="8" t="s">
        <v>68</v>
      </c>
      <c r="L288" s="10">
        <v>25000</v>
      </c>
      <c r="M288" s="8" t="s">
        <v>29</v>
      </c>
      <c r="N288" s="9">
        <v>14071.3</v>
      </c>
      <c r="O288" s="8" t="s">
        <v>30</v>
      </c>
      <c r="P288" t="str">
        <f>TEXT(Table1[[#This Row],[Transaction_Date]],"mmm")</f>
        <v>Jun</v>
      </c>
      <c r="Q288" s="11">
        <v>45815</v>
      </c>
      <c r="R288" s="8" t="s">
        <v>813</v>
      </c>
      <c r="S288" s="8" t="s">
        <v>32</v>
      </c>
      <c r="T288" s="9">
        <v>600.52</v>
      </c>
      <c r="U288" t="s">
        <v>45</v>
      </c>
      <c r="V288" s="8" t="s">
        <v>46</v>
      </c>
      <c r="W288"/>
      <c r="X288"/>
    </row>
    <row r="289" spans="1:24" x14ac:dyDescent="0.3">
      <c r="A289" t="s">
        <v>814</v>
      </c>
      <c r="B289" t="s">
        <v>387</v>
      </c>
      <c r="C289">
        <v>29</v>
      </c>
      <c r="D289" t="s">
        <v>24</v>
      </c>
      <c r="E289" t="s">
        <v>25</v>
      </c>
      <c r="F289" t="s">
        <v>24</v>
      </c>
      <c r="G289" t="s">
        <v>39</v>
      </c>
      <c r="H289" s="8" t="s">
        <v>40</v>
      </c>
      <c r="I289" s="9">
        <v>41269.83</v>
      </c>
      <c r="J289" s="9">
        <v>63814.74</v>
      </c>
      <c r="K289" s="8" t="s">
        <v>59</v>
      </c>
      <c r="L289" s="10">
        <v>25000</v>
      </c>
      <c r="M289" s="8" t="s">
        <v>29</v>
      </c>
      <c r="N289" s="9">
        <v>15638.58</v>
      </c>
      <c r="O289" s="8" t="s">
        <v>30</v>
      </c>
      <c r="P289" t="str">
        <f>TEXT(Table1[[#This Row],[Transaction_Date]],"mmm")</f>
        <v>Mar</v>
      </c>
      <c r="Q289" s="11">
        <v>45747</v>
      </c>
      <c r="R289" s="8" t="s">
        <v>815</v>
      </c>
      <c r="S289" s="8" t="s">
        <v>70</v>
      </c>
      <c r="T289" s="9">
        <v>4599.71</v>
      </c>
      <c r="U289" t="s">
        <v>71</v>
      </c>
      <c r="V289" s="8" t="s">
        <v>46</v>
      </c>
      <c r="W289"/>
      <c r="X289"/>
    </row>
    <row r="290" spans="1:24" x14ac:dyDescent="0.3">
      <c r="A290" t="s">
        <v>816</v>
      </c>
      <c r="B290" t="s">
        <v>165</v>
      </c>
      <c r="C290">
        <v>26</v>
      </c>
      <c r="D290" t="s">
        <v>37</v>
      </c>
      <c r="E290" t="s">
        <v>38</v>
      </c>
      <c r="F290" t="s">
        <v>37</v>
      </c>
      <c r="G290" t="s">
        <v>39</v>
      </c>
      <c r="H290" s="8" t="s">
        <v>40</v>
      </c>
      <c r="I290" s="9">
        <v>69091.94</v>
      </c>
      <c r="J290" s="9">
        <v>38338.339999999997</v>
      </c>
      <c r="K290" s="8" t="s">
        <v>68</v>
      </c>
      <c r="L290" s="10">
        <v>65664.17</v>
      </c>
      <c r="M290" s="8" t="s">
        <v>29</v>
      </c>
      <c r="N290" s="9">
        <v>36360.69</v>
      </c>
      <c r="O290" s="8" t="s">
        <v>30</v>
      </c>
      <c r="P290" t="str">
        <f>TEXT(Table1[[#This Row],[Transaction_Date]],"mmm")</f>
        <v>May</v>
      </c>
      <c r="Q290" s="11">
        <v>45803</v>
      </c>
      <c r="R290" s="8" t="s">
        <v>817</v>
      </c>
      <c r="S290" s="8" t="s">
        <v>70</v>
      </c>
      <c r="T290" s="9">
        <v>1224.82</v>
      </c>
      <c r="U290" t="s">
        <v>71</v>
      </c>
      <c r="V290" s="8" t="s">
        <v>62</v>
      </c>
      <c r="W290"/>
      <c r="X290"/>
    </row>
    <row r="291" spans="1:24" hidden="1" x14ac:dyDescent="0.3">
      <c r="A291" t="s">
        <v>818</v>
      </c>
      <c r="B291" t="s">
        <v>331</v>
      </c>
      <c r="C291">
        <v>34</v>
      </c>
      <c r="D291" t="s">
        <v>37</v>
      </c>
      <c r="E291" t="s">
        <v>38</v>
      </c>
      <c r="F291" t="s">
        <v>37</v>
      </c>
      <c r="G291" t="s">
        <v>51</v>
      </c>
      <c r="H291" s="8" t="s">
        <v>40</v>
      </c>
      <c r="I291" s="9">
        <v>22507.16</v>
      </c>
      <c r="J291" s="9">
        <v>55032.18</v>
      </c>
      <c r="K291" s="8" t="s">
        <v>41</v>
      </c>
      <c r="L291" s="10">
        <v>83412.990000000005</v>
      </c>
      <c r="M291" s="8" t="s">
        <v>29</v>
      </c>
      <c r="N291" s="9">
        <v>32681.86</v>
      </c>
      <c r="O291" s="8" t="s">
        <v>30</v>
      </c>
      <c r="P291" t="str">
        <f>TEXT(Table1[[#This Row],[Transaction_Date]],"mmm")</f>
        <v>Dec</v>
      </c>
      <c r="Q291" s="11">
        <v>45993</v>
      </c>
      <c r="R291" s="8" t="s">
        <v>819</v>
      </c>
      <c r="S291" s="8" t="s">
        <v>54</v>
      </c>
      <c r="T291" s="9">
        <v>14151.89</v>
      </c>
      <c r="U291" t="s">
        <v>77</v>
      </c>
      <c r="V291" s="8" t="s">
        <v>46</v>
      </c>
      <c r="W291"/>
      <c r="X291"/>
    </row>
    <row r="292" spans="1:24" hidden="1" x14ac:dyDescent="0.3">
      <c r="A292" t="s">
        <v>820</v>
      </c>
      <c r="B292" t="s">
        <v>279</v>
      </c>
      <c r="C292">
        <v>57</v>
      </c>
      <c r="D292" t="s">
        <v>37</v>
      </c>
      <c r="E292" t="s">
        <v>38</v>
      </c>
      <c r="F292" t="s">
        <v>37</v>
      </c>
      <c r="G292" t="s">
        <v>80</v>
      </c>
      <c r="H292" s="8" t="s">
        <v>40</v>
      </c>
      <c r="I292" s="9">
        <v>56567.58</v>
      </c>
      <c r="J292" s="9">
        <v>93376.639999999999</v>
      </c>
      <c r="K292" s="8" t="s">
        <v>59</v>
      </c>
      <c r="L292" s="10">
        <v>25000</v>
      </c>
      <c r="M292" s="8" t="s">
        <v>29</v>
      </c>
      <c r="N292" s="9">
        <v>10311.58</v>
      </c>
      <c r="O292" s="8" t="s">
        <v>30</v>
      </c>
      <c r="P292" t="str">
        <f>TEXT(Table1[[#This Row],[Transaction_Date]],"mmm")</f>
        <v>Nov</v>
      </c>
      <c r="Q292" s="11">
        <v>45986</v>
      </c>
      <c r="R292" s="8" t="s">
        <v>821</v>
      </c>
      <c r="S292" s="8" t="s">
        <v>70</v>
      </c>
      <c r="T292" s="9">
        <v>8090.31</v>
      </c>
      <c r="U292" t="s">
        <v>33</v>
      </c>
      <c r="V292" s="8" t="s">
        <v>62</v>
      </c>
      <c r="W292"/>
      <c r="X292"/>
    </row>
    <row r="293" spans="1:24" x14ac:dyDescent="0.3">
      <c r="A293" t="s">
        <v>822</v>
      </c>
      <c r="B293" t="s">
        <v>823</v>
      </c>
      <c r="C293">
        <v>34</v>
      </c>
      <c r="D293" t="s">
        <v>84</v>
      </c>
      <c r="E293" t="s">
        <v>85</v>
      </c>
      <c r="F293" t="s">
        <v>84</v>
      </c>
      <c r="G293" t="s">
        <v>39</v>
      </c>
      <c r="H293" s="8" t="s">
        <v>40</v>
      </c>
      <c r="I293" s="9">
        <v>22452.23</v>
      </c>
      <c r="J293" s="9">
        <v>153723.53</v>
      </c>
      <c r="K293" s="8" t="s">
        <v>74</v>
      </c>
      <c r="L293" s="10">
        <v>0</v>
      </c>
      <c r="M293" s="8" t="s">
        <v>75</v>
      </c>
      <c r="N293" s="9">
        <v>0</v>
      </c>
      <c r="O293" s="8" t="s">
        <v>30</v>
      </c>
      <c r="P293" t="str">
        <f>TEXT(Table1[[#This Row],[Transaction_Date]],"mmm")</f>
        <v>May</v>
      </c>
      <c r="Q293" s="11">
        <v>45803</v>
      </c>
      <c r="R293" s="8" t="s">
        <v>824</v>
      </c>
      <c r="S293" s="8" t="s">
        <v>32</v>
      </c>
      <c r="T293" s="9">
        <v>906.59</v>
      </c>
      <c r="U293" t="s">
        <v>45</v>
      </c>
      <c r="V293" s="8" t="s">
        <v>34</v>
      </c>
      <c r="W293"/>
      <c r="X293"/>
    </row>
    <row r="294" spans="1:24" x14ac:dyDescent="0.3">
      <c r="A294" t="s">
        <v>825</v>
      </c>
      <c r="B294" t="s">
        <v>665</v>
      </c>
      <c r="C294">
        <v>46</v>
      </c>
      <c r="D294" t="s">
        <v>37</v>
      </c>
      <c r="E294" t="s">
        <v>38</v>
      </c>
      <c r="F294" t="s">
        <v>37</v>
      </c>
      <c r="G294" t="s">
        <v>39</v>
      </c>
      <c r="H294" s="8" t="s">
        <v>40</v>
      </c>
      <c r="I294" s="9">
        <v>55015.02</v>
      </c>
      <c r="J294" s="9">
        <v>125473.48</v>
      </c>
      <c r="K294" s="8" t="s">
        <v>68</v>
      </c>
      <c r="L294" s="10">
        <v>107645.37</v>
      </c>
      <c r="M294" s="8" t="s">
        <v>29</v>
      </c>
      <c r="N294" s="9">
        <v>46766.37</v>
      </c>
      <c r="O294" s="8" t="s">
        <v>30</v>
      </c>
      <c r="P294" t="str">
        <f>TEXT(Table1[[#This Row],[Transaction_Date]],"mmm")</f>
        <v>Oct</v>
      </c>
      <c r="Q294" s="11">
        <v>45936</v>
      </c>
      <c r="R294" s="8" t="s">
        <v>826</v>
      </c>
      <c r="S294" s="8" t="s">
        <v>70</v>
      </c>
      <c r="T294" s="9">
        <v>1351.68</v>
      </c>
      <c r="U294" t="s">
        <v>61</v>
      </c>
      <c r="V294" s="8" t="s">
        <v>34</v>
      </c>
      <c r="W294"/>
      <c r="X294"/>
    </row>
    <row r="295" spans="1:24" x14ac:dyDescent="0.3">
      <c r="A295" t="s">
        <v>827</v>
      </c>
      <c r="B295" t="s">
        <v>393</v>
      </c>
      <c r="C295">
        <v>48</v>
      </c>
      <c r="D295" t="s">
        <v>49</v>
      </c>
      <c r="E295" t="s">
        <v>50</v>
      </c>
      <c r="F295" t="s">
        <v>49</v>
      </c>
      <c r="G295" t="s">
        <v>39</v>
      </c>
      <c r="H295" s="8" t="s">
        <v>40</v>
      </c>
      <c r="I295" s="9">
        <v>63403.26</v>
      </c>
      <c r="J295" s="9">
        <v>19417.68</v>
      </c>
      <c r="K295" s="8" t="s">
        <v>28</v>
      </c>
      <c r="L295" s="10">
        <v>32334.75</v>
      </c>
      <c r="M295" s="8" t="s">
        <v>29</v>
      </c>
      <c r="N295" s="9">
        <v>20412.78</v>
      </c>
      <c r="O295" s="8" t="s">
        <v>30</v>
      </c>
      <c r="P295" t="str">
        <f>TEXT(Table1[[#This Row],[Transaction_Date]],"mmm")</f>
        <v>Mar</v>
      </c>
      <c r="Q295" s="11">
        <v>45727</v>
      </c>
      <c r="R295" s="8" t="s">
        <v>828</v>
      </c>
      <c r="S295" s="8" t="s">
        <v>44</v>
      </c>
      <c r="T295" s="9">
        <v>1844.26</v>
      </c>
      <c r="U295" t="s">
        <v>45</v>
      </c>
      <c r="V295" s="8" t="s">
        <v>34</v>
      </c>
      <c r="W295"/>
      <c r="X295"/>
    </row>
    <row r="296" spans="1:24" x14ac:dyDescent="0.3">
      <c r="A296" t="s">
        <v>829</v>
      </c>
      <c r="B296" t="s">
        <v>711</v>
      </c>
      <c r="C296">
        <v>32</v>
      </c>
      <c r="D296" t="s">
        <v>24</v>
      </c>
      <c r="E296" t="s">
        <v>25</v>
      </c>
      <c r="F296" t="s">
        <v>24</v>
      </c>
      <c r="G296" t="s">
        <v>39</v>
      </c>
      <c r="H296" s="8" t="s">
        <v>40</v>
      </c>
      <c r="I296" s="9">
        <v>64812.68</v>
      </c>
      <c r="J296" s="9">
        <v>35307.18</v>
      </c>
      <c r="K296" s="8" t="s">
        <v>74</v>
      </c>
      <c r="L296" s="10">
        <v>0</v>
      </c>
      <c r="M296" s="8" t="s">
        <v>75</v>
      </c>
      <c r="N296" s="9">
        <v>0</v>
      </c>
      <c r="O296" s="8" t="s">
        <v>30</v>
      </c>
      <c r="P296" t="str">
        <f>TEXT(Table1[[#This Row],[Transaction_Date]],"mmm")</f>
        <v>Jan</v>
      </c>
      <c r="Q296" s="11">
        <v>45672</v>
      </c>
      <c r="R296" s="8" t="s">
        <v>830</v>
      </c>
      <c r="S296" s="8" t="s">
        <v>32</v>
      </c>
      <c r="T296" s="9">
        <v>461.8</v>
      </c>
      <c r="U296" t="s">
        <v>45</v>
      </c>
      <c r="V296" s="8" t="s">
        <v>62</v>
      </c>
      <c r="W296"/>
      <c r="X296"/>
    </row>
    <row r="297" spans="1:24" hidden="1" x14ac:dyDescent="0.3">
      <c r="A297" t="s">
        <v>831</v>
      </c>
      <c r="B297" t="s">
        <v>832</v>
      </c>
      <c r="C297">
        <v>24</v>
      </c>
      <c r="D297" t="s">
        <v>92</v>
      </c>
      <c r="E297" t="s">
        <v>93</v>
      </c>
      <c r="F297" t="s">
        <v>92</v>
      </c>
      <c r="G297" t="s">
        <v>80</v>
      </c>
      <c r="H297" s="8" t="s">
        <v>40</v>
      </c>
      <c r="I297" s="9">
        <v>74418.259999999995</v>
      </c>
      <c r="J297" s="9">
        <v>13897.69</v>
      </c>
      <c r="K297" s="8" t="s">
        <v>52</v>
      </c>
      <c r="L297" s="10">
        <v>43386.39</v>
      </c>
      <c r="M297" s="8" t="s">
        <v>29</v>
      </c>
      <c r="N297" s="9">
        <v>30458.02</v>
      </c>
      <c r="O297" s="8" t="s">
        <v>30</v>
      </c>
      <c r="P297" t="str">
        <f>TEXT(Table1[[#This Row],[Transaction_Date]],"mmm")</f>
        <v>Apr</v>
      </c>
      <c r="Q297" s="11">
        <v>45772</v>
      </c>
      <c r="R297" s="8" t="s">
        <v>833</v>
      </c>
      <c r="S297" s="8" t="s">
        <v>44</v>
      </c>
      <c r="T297" s="9">
        <v>6487.85</v>
      </c>
      <c r="U297" t="s">
        <v>106</v>
      </c>
      <c r="V297" s="8" t="s">
        <v>46</v>
      </c>
      <c r="W297"/>
      <c r="X297"/>
    </row>
    <row r="298" spans="1:24" hidden="1" x14ac:dyDescent="0.3">
      <c r="A298" t="s">
        <v>834</v>
      </c>
      <c r="B298" t="s">
        <v>548</v>
      </c>
      <c r="C298">
        <v>52</v>
      </c>
      <c r="D298" t="s">
        <v>49</v>
      </c>
      <c r="E298" t="s">
        <v>50</v>
      </c>
      <c r="F298" t="s">
        <v>49</v>
      </c>
      <c r="G298" t="s">
        <v>80</v>
      </c>
      <c r="H298" s="8" t="s">
        <v>27</v>
      </c>
      <c r="I298" s="9">
        <v>68886.78</v>
      </c>
      <c r="J298" s="9">
        <v>8899.1</v>
      </c>
      <c r="K298" s="8" t="s">
        <v>68</v>
      </c>
      <c r="L298" s="10">
        <v>93166.53</v>
      </c>
      <c r="M298" s="8" t="s">
        <v>42</v>
      </c>
      <c r="N298" s="9">
        <v>0</v>
      </c>
      <c r="O298" s="8" t="s">
        <v>30</v>
      </c>
      <c r="P298" t="str">
        <f>TEXT(Table1[[#This Row],[Transaction_Date]],"mmm")</f>
        <v>Jun</v>
      </c>
      <c r="Q298" s="11">
        <v>45814</v>
      </c>
      <c r="R298" s="8" t="s">
        <v>835</v>
      </c>
      <c r="S298" s="8" t="s">
        <v>70</v>
      </c>
      <c r="T298" s="9">
        <v>950.49</v>
      </c>
      <c r="U298" t="s">
        <v>61</v>
      </c>
      <c r="V298" s="8" t="s">
        <v>62</v>
      </c>
      <c r="W298"/>
      <c r="X298"/>
    </row>
    <row r="299" spans="1:24" x14ac:dyDescent="0.3">
      <c r="A299" t="s">
        <v>836</v>
      </c>
      <c r="B299" t="s">
        <v>563</v>
      </c>
      <c r="C299">
        <v>47</v>
      </c>
      <c r="D299" t="s">
        <v>24</v>
      </c>
      <c r="E299" t="s">
        <v>25</v>
      </c>
      <c r="F299" t="s">
        <v>24</v>
      </c>
      <c r="G299" t="s">
        <v>39</v>
      </c>
      <c r="H299" s="8" t="s">
        <v>67</v>
      </c>
      <c r="I299" s="9">
        <v>14649</v>
      </c>
      <c r="J299" s="9">
        <v>31924</v>
      </c>
      <c r="K299" s="8" t="s">
        <v>28</v>
      </c>
      <c r="L299" s="10">
        <v>25000</v>
      </c>
      <c r="M299" s="8" t="s">
        <v>29</v>
      </c>
      <c r="N299" s="9">
        <v>14583.38</v>
      </c>
      <c r="O299" s="8" t="s">
        <v>30</v>
      </c>
      <c r="P299" t="str">
        <f>TEXT(Table1[[#This Row],[Transaction_Date]],"mmm")</f>
        <v>Aug</v>
      </c>
      <c r="Q299" s="11">
        <v>45884</v>
      </c>
      <c r="R299" s="8" t="s">
        <v>837</v>
      </c>
      <c r="S299" s="8" t="s">
        <v>32</v>
      </c>
      <c r="T299" s="9">
        <v>2578.4</v>
      </c>
      <c r="U299" t="s">
        <v>71</v>
      </c>
      <c r="V299" s="8" t="s">
        <v>34</v>
      </c>
      <c r="W299"/>
      <c r="X299"/>
    </row>
    <row r="300" spans="1:24" hidden="1" x14ac:dyDescent="0.3">
      <c r="A300" t="s">
        <v>838</v>
      </c>
      <c r="B300" t="s">
        <v>545</v>
      </c>
      <c r="C300">
        <v>28</v>
      </c>
      <c r="D300" t="s">
        <v>24</v>
      </c>
      <c r="E300" t="s">
        <v>25</v>
      </c>
      <c r="F300" t="s">
        <v>24</v>
      </c>
      <c r="G300" t="s">
        <v>51</v>
      </c>
      <c r="H300" s="8" t="s">
        <v>27</v>
      </c>
      <c r="I300" s="9">
        <v>42421.59</v>
      </c>
      <c r="J300" s="9">
        <v>3576</v>
      </c>
      <c r="K300" s="8" t="s">
        <v>74</v>
      </c>
      <c r="L300" s="10">
        <v>0</v>
      </c>
      <c r="M300" s="8" t="s">
        <v>75</v>
      </c>
      <c r="N300" s="9">
        <v>0</v>
      </c>
      <c r="O300" s="8" t="s">
        <v>30</v>
      </c>
      <c r="P300" t="str">
        <f>TEXT(Table1[[#This Row],[Transaction_Date]],"mmm")</f>
        <v>Feb</v>
      </c>
      <c r="Q300" s="11">
        <v>45707</v>
      </c>
      <c r="R300" s="8" t="s">
        <v>839</v>
      </c>
      <c r="S300" s="8" t="s">
        <v>44</v>
      </c>
      <c r="T300" s="9">
        <v>3741.52</v>
      </c>
      <c r="U300" t="s">
        <v>45</v>
      </c>
      <c r="V300" s="8" t="s">
        <v>62</v>
      </c>
      <c r="W300"/>
      <c r="X300"/>
    </row>
    <row r="301" spans="1:24" hidden="1" x14ac:dyDescent="0.3">
      <c r="A301" t="s">
        <v>840</v>
      </c>
      <c r="B301" t="s">
        <v>545</v>
      </c>
      <c r="C301">
        <v>21</v>
      </c>
      <c r="D301" t="s">
        <v>84</v>
      </c>
      <c r="E301" t="s">
        <v>85</v>
      </c>
      <c r="F301" t="s">
        <v>84</v>
      </c>
      <c r="G301" t="s">
        <v>51</v>
      </c>
      <c r="H301" s="8" t="s">
        <v>40</v>
      </c>
      <c r="I301" s="9">
        <v>56323.01</v>
      </c>
      <c r="J301" s="9">
        <v>45918.73</v>
      </c>
      <c r="K301" s="8" t="s">
        <v>59</v>
      </c>
      <c r="L301" s="10">
        <v>77706.320000000007</v>
      </c>
      <c r="M301" s="8" t="s">
        <v>42</v>
      </c>
      <c r="N301" s="9">
        <v>0</v>
      </c>
      <c r="O301" s="8" t="s">
        <v>30</v>
      </c>
      <c r="P301" t="str">
        <f>TEXT(Table1[[#This Row],[Transaction_Date]],"mmm")</f>
        <v>Aug</v>
      </c>
      <c r="Q301" s="11">
        <v>45898</v>
      </c>
      <c r="R301" s="8" t="s">
        <v>841</v>
      </c>
      <c r="S301" s="8" t="s">
        <v>54</v>
      </c>
      <c r="T301" s="9">
        <v>1152.52</v>
      </c>
      <c r="U301" t="s">
        <v>61</v>
      </c>
      <c r="V301" s="8" t="s">
        <v>46</v>
      </c>
      <c r="W301"/>
      <c r="X301"/>
    </row>
    <row r="302" spans="1:24" x14ac:dyDescent="0.3">
      <c r="A302" t="s">
        <v>842</v>
      </c>
      <c r="B302" t="s">
        <v>626</v>
      </c>
      <c r="C302">
        <v>39</v>
      </c>
      <c r="D302" t="s">
        <v>37</v>
      </c>
      <c r="E302" t="s">
        <v>38</v>
      </c>
      <c r="F302" t="s">
        <v>37</v>
      </c>
      <c r="G302" t="s">
        <v>39</v>
      </c>
      <c r="H302" s="8" t="s">
        <v>40</v>
      </c>
      <c r="I302" s="9">
        <v>42640.79</v>
      </c>
      <c r="J302" s="9">
        <v>28907.64</v>
      </c>
      <c r="K302" s="8" t="s">
        <v>68</v>
      </c>
      <c r="L302" s="10">
        <v>25000</v>
      </c>
      <c r="M302" s="8" t="s">
        <v>29</v>
      </c>
      <c r="N302" s="9">
        <v>19719.95</v>
      </c>
      <c r="O302" s="8" t="s">
        <v>30</v>
      </c>
      <c r="P302" t="str">
        <f>TEXT(Table1[[#This Row],[Transaction_Date]],"mmm")</f>
        <v>Sep</v>
      </c>
      <c r="Q302" s="11">
        <v>45929</v>
      </c>
      <c r="R302" s="8" t="s">
        <v>843</v>
      </c>
      <c r="S302" s="8" t="s">
        <v>32</v>
      </c>
      <c r="T302" s="9">
        <v>11958.48</v>
      </c>
      <c r="U302" t="s">
        <v>77</v>
      </c>
      <c r="V302" s="8" t="s">
        <v>62</v>
      </c>
      <c r="W302"/>
      <c r="X302"/>
    </row>
    <row r="303" spans="1:24" hidden="1" x14ac:dyDescent="0.3">
      <c r="A303" t="s">
        <v>844</v>
      </c>
      <c r="B303" t="s">
        <v>409</v>
      </c>
      <c r="C303">
        <v>52</v>
      </c>
      <c r="D303" t="s">
        <v>65</v>
      </c>
      <c r="E303" t="s">
        <v>66</v>
      </c>
      <c r="F303" t="s">
        <v>65</v>
      </c>
      <c r="G303" t="s">
        <v>80</v>
      </c>
      <c r="H303" s="8" t="s">
        <v>40</v>
      </c>
      <c r="I303" s="9">
        <v>44927.34</v>
      </c>
      <c r="J303" s="9">
        <v>46021.97</v>
      </c>
      <c r="K303" s="8" t="s">
        <v>74</v>
      </c>
      <c r="L303" s="10">
        <v>0</v>
      </c>
      <c r="M303" s="8" t="s">
        <v>75</v>
      </c>
      <c r="N303" s="9">
        <v>0</v>
      </c>
      <c r="O303" s="8" t="s">
        <v>30</v>
      </c>
      <c r="P303" t="str">
        <f>TEXT(Table1[[#This Row],[Transaction_Date]],"mmm")</f>
        <v>Jul</v>
      </c>
      <c r="Q303" s="11">
        <v>45858</v>
      </c>
      <c r="R303" s="8" t="s">
        <v>845</v>
      </c>
      <c r="S303" s="8" t="s">
        <v>44</v>
      </c>
      <c r="T303" s="9">
        <v>2287.65</v>
      </c>
      <c r="U303" t="s">
        <v>45</v>
      </c>
      <c r="V303" s="8" t="s">
        <v>62</v>
      </c>
      <c r="W303"/>
      <c r="X303"/>
    </row>
    <row r="304" spans="1:24" hidden="1" x14ac:dyDescent="0.3">
      <c r="A304" t="s">
        <v>846</v>
      </c>
      <c r="B304" t="s">
        <v>847</v>
      </c>
      <c r="C304">
        <v>18</v>
      </c>
      <c r="D304" t="s">
        <v>37</v>
      </c>
      <c r="E304" t="s">
        <v>38</v>
      </c>
      <c r="F304" t="s">
        <v>37</v>
      </c>
      <c r="G304" t="s">
        <v>80</v>
      </c>
      <c r="H304" s="8" t="s">
        <v>27</v>
      </c>
      <c r="I304" s="9">
        <v>62076.93</v>
      </c>
      <c r="J304" s="9">
        <v>26533.5</v>
      </c>
      <c r="K304" s="8" t="s">
        <v>59</v>
      </c>
      <c r="L304" s="10">
        <v>67917.22</v>
      </c>
      <c r="M304" s="8" t="s">
        <v>29</v>
      </c>
      <c r="N304" s="9">
        <v>19652.22</v>
      </c>
      <c r="O304" s="8" t="s">
        <v>30</v>
      </c>
      <c r="P304" t="str">
        <f>TEXT(Table1[[#This Row],[Transaction_Date]],"mmm")</f>
        <v>Mar</v>
      </c>
      <c r="Q304" s="11">
        <v>45739</v>
      </c>
      <c r="R304" s="8" t="s">
        <v>848</v>
      </c>
      <c r="S304" s="8" t="s">
        <v>54</v>
      </c>
      <c r="T304" s="9">
        <v>9920.9</v>
      </c>
      <c r="U304" t="s">
        <v>71</v>
      </c>
      <c r="V304" s="8" t="s">
        <v>62</v>
      </c>
      <c r="W304"/>
      <c r="X304"/>
    </row>
    <row r="305" spans="1:24" x14ac:dyDescent="0.3">
      <c r="A305" t="s">
        <v>849</v>
      </c>
      <c r="B305" t="s">
        <v>790</v>
      </c>
      <c r="C305">
        <v>50</v>
      </c>
      <c r="D305" t="s">
        <v>24</v>
      </c>
      <c r="E305" t="s">
        <v>25</v>
      </c>
      <c r="F305" t="s">
        <v>24</v>
      </c>
      <c r="G305" t="s">
        <v>39</v>
      </c>
      <c r="H305" s="8" t="s">
        <v>67</v>
      </c>
      <c r="I305" s="9">
        <v>12000</v>
      </c>
      <c r="J305" s="9">
        <v>45721.37</v>
      </c>
      <c r="K305" s="8" t="s">
        <v>74</v>
      </c>
      <c r="L305" s="10">
        <v>0</v>
      </c>
      <c r="M305" s="8" t="s">
        <v>75</v>
      </c>
      <c r="N305" s="9">
        <v>0</v>
      </c>
      <c r="O305" s="8" t="s">
        <v>30</v>
      </c>
      <c r="P305" t="str">
        <f>TEXT(Table1[[#This Row],[Transaction_Date]],"mmm")</f>
        <v>Jan</v>
      </c>
      <c r="Q305" s="11">
        <v>45675</v>
      </c>
      <c r="R305" s="8" t="s">
        <v>850</v>
      </c>
      <c r="S305" s="8" t="s">
        <v>44</v>
      </c>
      <c r="T305" s="9">
        <v>6403.34</v>
      </c>
      <c r="U305" t="s">
        <v>33</v>
      </c>
      <c r="V305" s="8" t="s">
        <v>34</v>
      </c>
      <c r="W305"/>
      <c r="X305"/>
    </row>
    <row r="306" spans="1:24" hidden="1" x14ac:dyDescent="0.3">
      <c r="A306" t="s">
        <v>851</v>
      </c>
      <c r="B306" t="s">
        <v>368</v>
      </c>
      <c r="C306">
        <v>51</v>
      </c>
      <c r="D306" t="s">
        <v>92</v>
      </c>
      <c r="E306" t="s">
        <v>93</v>
      </c>
      <c r="F306" t="s">
        <v>92</v>
      </c>
      <c r="G306" t="s">
        <v>80</v>
      </c>
      <c r="H306" s="8" t="s">
        <v>40</v>
      </c>
      <c r="I306" s="9">
        <v>77124.41</v>
      </c>
      <c r="J306" s="9">
        <v>15242.14</v>
      </c>
      <c r="K306" s="8" t="s">
        <v>59</v>
      </c>
      <c r="L306" s="10">
        <v>25000</v>
      </c>
      <c r="M306" s="8" t="s">
        <v>42</v>
      </c>
      <c r="N306" s="9">
        <v>0</v>
      </c>
      <c r="O306" s="8" t="s">
        <v>30</v>
      </c>
      <c r="P306" t="str">
        <f>TEXT(Table1[[#This Row],[Transaction_Date]],"mmm")</f>
        <v>Mar</v>
      </c>
      <c r="Q306" s="11">
        <v>45725</v>
      </c>
      <c r="R306" s="8" t="s">
        <v>852</v>
      </c>
      <c r="S306" s="8" t="s">
        <v>32</v>
      </c>
      <c r="T306" s="9">
        <v>3375.77</v>
      </c>
      <c r="U306" t="s">
        <v>45</v>
      </c>
      <c r="V306" s="8" t="s">
        <v>46</v>
      </c>
      <c r="W306"/>
      <c r="X306"/>
    </row>
    <row r="307" spans="1:24" x14ac:dyDescent="0.3">
      <c r="A307" t="s">
        <v>853</v>
      </c>
      <c r="B307" t="s">
        <v>854</v>
      </c>
      <c r="C307">
        <v>26</v>
      </c>
      <c r="D307" t="s">
        <v>37</v>
      </c>
      <c r="E307" t="s">
        <v>38</v>
      </c>
      <c r="F307" t="s">
        <v>37</v>
      </c>
      <c r="G307" t="s">
        <v>39</v>
      </c>
      <c r="H307" s="8" t="s">
        <v>40</v>
      </c>
      <c r="I307" s="9">
        <v>25538.44</v>
      </c>
      <c r="J307" s="9">
        <v>69065.210000000006</v>
      </c>
      <c r="K307" s="8" t="s">
        <v>59</v>
      </c>
      <c r="L307" s="10">
        <v>67494.91</v>
      </c>
      <c r="M307" s="8" t="s">
        <v>29</v>
      </c>
      <c r="N307" s="9">
        <v>16608.39</v>
      </c>
      <c r="O307" s="8" t="s">
        <v>30</v>
      </c>
      <c r="P307" t="str">
        <f>TEXT(Table1[[#This Row],[Transaction_Date]],"mmm")</f>
        <v>Mar</v>
      </c>
      <c r="Q307" s="11">
        <v>45719</v>
      </c>
      <c r="R307" s="8" t="s">
        <v>855</v>
      </c>
      <c r="S307" s="8" t="s">
        <v>44</v>
      </c>
      <c r="T307" s="9">
        <v>336.65</v>
      </c>
      <c r="U307" t="s">
        <v>106</v>
      </c>
      <c r="V307" s="8" t="s">
        <v>62</v>
      </c>
      <c r="W307"/>
      <c r="X307"/>
    </row>
    <row r="308" spans="1:24" x14ac:dyDescent="0.3">
      <c r="A308" t="s">
        <v>856</v>
      </c>
      <c r="B308" t="s">
        <v>88</v>
      </c>
      <c r="C308">
        <v>36</v>
      </c>
      <c r="D308" t="s">
        <v>57</v>
      </c>
      <c r="E308" t="s">
        <v>58</v>
      </c>
      <c r="F308" t="s">
        <v>57</v>
      </c>
      <c r="G308" t="s">
        <v>39</v>
      </c>
      <c r="H308" s="8" t="s">
        <v>40</v>
      </c>
      <c r="I308" s="9">
        <v>76797.56</v>
      </c>
      <c r="J308" s="9">
        <v>11080.75</v>
      </c>
      <c r="K308" s="8" t="s">
        <v>74</v>
      </c>
      <c r="L308" s="10">
        <v>0</v>
      </c>
      <c r="M308" s="8" t="s">
        <v>75</v>
      </c>
      <c r="N308" s="9">
        <v>0</v>
      </c>
      <c r="O308" s="8" t="s">
        <v>30</v>
      </c>
      <c r="P308" t="str">
        <f>TEXT(Table1[[#This Row],[Transaction_Date]],"mmm")</f>
        <v>Feb</v>
      </c>
      <c r="Q308" s="11">
        <v>45714</v>
      </c>
      <c r="R308" s="8" t="s">
        <v>857</v>
      </c>
      <c r="S308" s="8" t="s">
        <v>54</v>
      </c>
      <c r="T308" s="9">
        <v>5001.71</v>
      </c>
      <c r="U308" t="s">
        <v>45</v>
      </c>
      <c r="V308" s="8" t="s">
        <v>62</v>
      </c>
      <c r="W308"/>
      <c r="X308"/>
    </row>
    <row r="309" spans="1:24" hidden="1" x14ac:dyDescent="0.3">
      <c r="A309" t="s">
        <v>858</v>
      </c>
      <c r="B309" t="s">
        <v>859</v>
      </c>
      <c r="C309">
        <v>53</v>
      </c>
      <c r="D309" t="s">
        <v>49</v>
      </c>
      <c r="E309" t="s">
        <v>50</v>
      </c>
      <c r="F309" t="s">
        <v>49</v>
      </c>
      <c r="G309" t="s">
        <v>80</v>
      </c>
      <c r="H309" s="8" t="s">
        <v>40</v>
      </c>
      <c r="I309" s="9">
        <v>53056.98</v>
      </c>
      <c r="J309" s="9">
        <v>7439.64</v>
      </c>
      <c r="K309" s="8" t="s">
        <v>28</v>
      </c>
      <c r="L309" s="10">
        <v>46342.239999999998</v>
      </c>
      <c r="M309" s="8" t="s">
        <v>42</v>
      </c>
      <c r="N309" s="9">
        <v>0</v>
      </c>
      <c r="O309" s="8" t="s">
        <v>30</v>
      </c>
      <c r="P309" t="str">
        <f>TEXT(Table1[[#This Row],[Transaction_Date]],"mmm")</f>
        <v>Jun</v>
      </c>
      <c r="Q309" s="11">
        <v>45838</v>
      </c>
      <c r="R309" s="8" t="s">
        <v>860</v>
      </c>
      <c r="S309" s="8" t="s">
        <v>44</v>
      </c>
      <c r="T309" s="9">
        <v>2687.52</v>
      </c>
      <c r="U309" t="s">
        <v>106</v>
      </c>
      <c r="V309" s="8" t="s">
        <v>46</v>
      </c>
      <c r="W309"/>
      <c r="X309"/>
    </row>
    <row r="310" spans="1:24" hidden="1" x14ac:dyDescent="0.3">
      <c r="A310" t="s">
        <v>861</v>
      </c>
      <c r="B310" t="s">
        <v>387</v>
      </c>
      <c r="C310">
        <v>49</v>
      </c>
      <c r="D310" t="s">
        <v>92</v>
      </c>
      <c r="E310" t="s">
        <v>93</v>
      </c>
      <c r="F310" t="s">
        <v>92</v>
      </c>
      <c r="G310" t="s">
        <v>80</v>
      </c>
      <c r="H310" s="8" t="s">
        <v>40</v>
      </c>
      <c r="I310" s="9">
        <v>82594.899999999994</v>
      </c>
      <c r="J310" s="9">
        <v>4078.06</v>
      </c>
      <c r="K310" s="8" t="s">
        <v>68</v>
      </c>
      <c r="L310" s="10">
        <v>51503.43</v>
      </c>
      <c r="M310" s="8" t="s">
        <v>29</v>
      </c>
      <c r="N310" s="9">
        <v>26184.5</v>
      </c>
      <c r="O310" s="8" t="s">
        <v>30</v>
      </c>
      <c r="P310" t="str">
        <f>TEXT(Table1[[#This Row],[Transaction_Date]],"mmm")</f>
        <v>Aug</v>
      </c>
      <c r="Q310" s="11">
        <v>45896</v>
      </c>
      <c r="R310" s="8" t="s">
        <v>862</v>
      </c>
      <c r="S310" s="8" t="s">
        <v>70</v>
      </c>
      <c r="T310" s="9">
        <v>2390.7399999999998</v>
      </c>
      <c r="U310" t="s">
        <v>33</v>
      </c>
      <c r="V310" s="8" t="s">
        <v>46</v>
      </c>
      <c r="W310"/>
      <c r="X310"/>
    </row>
    <row r="311" spans="1:24" hidden="1" x14ac:dyDescent="0.3">
      <c r="A311" t="s">
        <v>863</v>
      </c>
      <c r="B311" t="s">
        <v>231</v>
      </c>
      <c r="C311">
        <v>29</v>
      </c>
      <c r="D311" t="s">
        <v>92</v>
      </c>
      <c r="E311" t="s">
        <v>93</v>
      </c>
      <c r="F311" t="s">
        <v>92</v>
      </c>
      <c r="G311" t="s">
        <v>51</v>
      </c>
      <c r="H311" s="8" t="s">
        <v>67</v>
      </c>
      <c r="I311" s="9">
        <v>31916.25</v>
      </c>
      <c r="J311" s="9">
        <v>46055.23</v>
      </c>
      <c r="K311" s="8" t="s">
        <v>74</v>
      </c>
      <c r="L311" s="10">
        <v>0</v>
      </c>
      <c r="M311" s="8" t="s">
        <v>75</v>
      </c>
      <c r="N311" s="9">
        <v>0</v>
      </c>
      <c r="O311" s="8" t="s">
        <v>30</v>
      </c>
      <c r="P311" t="str">
        <f>TEXT(Table1[[#This Row],[Transaction_Date]],"mmm")</f>
        <v>Aug</v>
      </c>
      <c r="Q311" s="11">
        <v>45876</v>
      </c>
      <c r="R311" s="8" t="s">
        <v>864</v>
      </c>
      <c r="S311" s="8" t="s">
        <v>32</v>
      </c>
      <c r="T311" s="9">
        <v>3123.76</v>
      </c>
      <c r="U311" t="s">
        <v>106</v>
      </c>
      <c r="V311" s="8" t="s">
        <v>34</v>
      </c>
      <c r="W311"/>
      <c r="X311"/>
    </row>
    <row r="312" spans="1:24" hidden="1" x14ac:dyDescent="0.3">
      <c r="A312" t="s">
        <v>865</v>
      </c>
      <c r="B312" t="s">
        <v>149</v>
      </c>
      <c r="C312">
        <v>31</v>
      </c>
      <c r="D312" t="s">
        <v>37</v>
      </c>
      <c r="E312" t="s">
        <v>38</v>
      </c>
      <c r="F312" t="s">
        <v>37</v>
      </c>
      <c r="G312" t="s">
        <v>80</v>
      </c>
      <c r="H312" s="8" t="s">
        <v>40</v>
      </c>
      <c r="I312" s="9">
        <v>65579.98</v>
      </c>
      <c r="J312" s="9">
        <v>62662.15</v>
      </c>
      <c r="K312" s="8" t="s">
        <v>68</v>
      </c>
      <c r="L312" s="10">
        <v>51436.68</v>
      </c>
      <c r="M312" s="8" t="s">
        <v>29</v>
      </c>
      <c r="N312" s="9">
        <v>34808.949999999997</v>
      </c>
      <c r="O312" s="8" t="s">
        <v>30</v>
      </c>
      <c r="P312" t="str">
        <f>TEXT(Table1[[#This Row],[Transaction_Date]],"mmm")</f>
        <v>Mar</v>
      </c>
      <c r="Q312" s="11">
        <v>45728</v>
      </c>
      <c r="R312" s="8" t="s">
        <v>866</v>
      </c>
      <c r="S312" s="8" t="s">
        <v>32</v>
      </c>
      <c r="T312" s="9">
        <v>1230.32</v>
      </c>
      <c r="U312" t="s">
        <v>106</v>
      </c>
      <c r="V312" s="8" t="s">
        <v>62</v>
      </c>
      <c r="W312"/>
      <c r="X312"/>
    </row>
    <row r="313" spans="1:24" x14ac:dyDescent="0.3">
      <c r="A313" t="s">
        <v>867</v>
      </c>
      <c r="B313" t="s">
        <v>626</v>
      </c>
      <c r="C313">
        <v>34</v>
      </c>
      <c r="D313" t="s">
        <v>97</v>
      </c>
      <c r="E313" t="s">
        <v>98</v>
      </c>
      <c r="F313" t="s">
        <v>97</v>
      </c>
      <c r="G313" t="s">
        <v>39</v>
      </c>
      <c r="H313" s="8" t="s">
        <v>40</v>
      </c>
      <c r="I313" s="9">
        <v>71612.62</v>
      </c>
      <c r="J313" s="9">
        <v>18587.59</v>
      </c>
      <c r="K313" s="8" t="s">
        <v>74</v>
      </c>
      <c r="L313" s="10">
        <v>0</v>
      </c>
      <c r="M313" s="8" t="s">
        <v>75</v>
      </c>
      <c r="N313" s="9">
        <v>0</v>
      </c>
      <c r="O313" s="8" t="s">
        <v>30</v>
      </c>
      <c r="P313" t="str">
        <f>TEXT(Table1[[#This Row],[Transaction_Date]],"mmm")</f>
        <v>Mar</v>
      </c>
      <c r="Q313" s="11">
        <v>45719</v>
      </c>
      <c r="R313" s="8" t="s">
        <v>868</v>
      </c>
      <c r="S313" s="8" t="s">
        <v>32</v>
      </c>
      <c r="T313" s="9">
        <v>25538.49</v>
      </c>
      <c r="U313" t="s">
        <v>33</v>
      </c>
      <c r="V313" s="8" t="s">
        <v>62</v>
      </c>
      <c r="W313"/>
      <c r="X313"/>
    </row>
    <row r="314" spans="1:24" x14ac:dyDescent="0.3">
      <c r="A314" t="s">
        <v>869</v>
      </c>
      <c r="B314" t="s">
        <v>870</v>
      </c>
      <c r="C314">
        <v>34</v>
      </c>
      <c r="D314" t="s">
        <v>24</v>
      </c>
      <c r="E314" t="s">
        <v>25</v>
      </c>
      <c r="F314" t="s">
        <v>24</v>
      </c>
      <c r="G314" t="s">
        <v>39</v>
      </c>
      <c r="H314" s="8" t="s">
        <v>27</v>
      </c>
      <c r="I314" s="9">
        <v>64917.08</v>
      </c>
      <c r="J314" s="9">
        <v>46205.99</v>
      </c>
      <c r="K314" s="8" t="s">
        <v>52</v>
      </c>
      <c r="L314" s="10">
        <v>101795.35</v>
      </c>
      <c r="M314" s="8" t="s">
        <v>29</v>
      </c>
      <c r="N314" s="9">
        <v>27006.65</v>
      </c>
      <c r="O314" s="8" t="s">
        <v>30</v>
      </c>
      <c r="P314" t="str">
        <f>TEXT(Table1[[#This Row],[Transaction_Date]],"mmm")</f>
        <v>Dec</v>
      </c>
      <c r="Q314" s="11">
        <v>46001</v>
      </c>
      <c r="R314" s="8" t="s">
        <v>871</v>
      </c>
      <c r="S314" s="8" t="s">
        <v>54</v>
      </c>
      <c r="T314" s="9">
        <v>2441.33</v>
      </c>
      <c r="U314" t="s">
        <v>33</v>
      </c>
      <c r="V314" s="8" t="s">
        <v>62</v>
      </c>
      <c r="W314"/>
      <c r="X314"/>
    </row>
    <row r="315" spans="1:24" hidden="1" x14ac:dyDescent="0.3">
      <c r="A315" t="s">
        <v>872</v>
      </c>
      <c r="B315" t="s">
        <v>442</v>
      </c>
      <c r="C315">
        <v>34</v>
      </c>
      <c r="D315" t="s">
        <v>49</v>
      </c>
      <c r="E315" t="s">
        <v>50</v>
      </c>
      <c r="F315" t="s">
        <v>49</v>
      </c>
      <c r="G315" t="s">
        <v>80</v>
      </c>
      <c r="H315" s="8" t="s">
        <v>40</v>
      </c>
      <c r="I315" s="9">
        <v>37242.92</v>
      </c>
      <c r="J315" s="9">
        <v>41364.6</v>
      </c>
      <c r="K315" s="8" t="s">
        <v>74</v>
      </c>
      <c r="L315" s="10">
        <v>0</v>
      </c>
      <c r="M315" s="8" t="s">
        <v>75</v>
      </c>
      <c r="N315" s="9">
        <v>0</v>
      </c>
      <c r="O315" s="8" t="s">
        <v>30</v>
      </c>
      <c r="P315" t="str">
        <f>TEXT(Table1[[#This Row],[Transaction_Date]],"mmm")</f>
        <v>May</v>
      </c>
      <c r="Q315" s="11">
        <v>45806</v>
      </c>
      <c r="R315" s="8" t="s">
        <v>873</v>
      </c>
      <c r="S315" s="8" t="s">
        <v>44</v>
      </c>
      <c r="T315" s="9">
        <v>1754.69</v>
      </c>
      <c r="U315" t="s">
        <v>33</v>
      </c>
      <c r="V315" s="8" t="s">
        <v>62</v>
      </c>
      <c r="W315"/>
      <c r="X315"/>
    </row>
    <row r="316" spans="1:24" x14ac:dyDescent="0.3">
      <c r="A316" t="s">
        <v>874</v>
      </c>
      <c r="B316" t="s">
        <v>276</v>
      </c>
      <c r="C316">
        <v>35</v>
      </c>
      <c r="D316" t="s">
        <v>84</v>
      </c>
      <c r="E316" t="s">
        <v>85</v>
      </c>
      <c r="F316" t="s">
        <v>84</v>
      </c>
      <c r="G316" t="s">
        <v>39</v>
      </c>
      <c r="H316" s="8" t="s">
        <v>67</v>
      </c>
      <c r="I316" s="9">
        <v>23423.279999999999</v>
      </c>
      <c r="J316" s="9">
        <v>207395.28</v>
      </c>
      <c r="K316" s="8" t="s">
        <v>74</v>
      </c>
      <c r="L316" s="10">
        <v>0</v>
      </c>
      <c r="M316" s="8" t="s">
        <v>75</v>
      </c>
      <c r="N316" s="9">
        <v>0</v>
      </c>
      <c r="O316" s="8" t="s">
        <v>30</v>
      </c>
      <c r="P316" t="str">
        <f>TEXT(Table1[[#This Row],[Transaction_Date]],"mmm")</f>
        <v>Feb</v>
      </c>
      <c r="Q316" s="11">
        <v>45704</v>
      </c>
      <c r="R316" s="8" t="s">
        <v>875</v>
      </c>
      <c r="S316" s="8" t="s">
        <v>32</v>
      </c>
      <c r="T316" s="9">
        <v>450.62</v>
      </c>
      <c r="U316" t="s">
        <v>71</v>
      </c>
      <c r="V316" s="8" t="s">
        <v>62</v>
      </c>
      <c r="W316"/>
      <c r="X316"/>
    </row>
    <row r="317" spans="1:24" x14ac:dyDescent="0.3">
      <c r="A317" t="s">
        <v>876</v>
      </c>
      <c r="B317" t="s">
        <v>483</v>
      </c>
      <c r="C317">
        <v>35</v>
      </c>
      <c r="D317" t="s">
        <v>49</v>
      </c>
      <c r="E317" t="s">
        <v>50</v>
      </c>
      <c r="F317" t="s">
        <v>49</v>
      </c>
      <c r="G317" t="s">
        <v>39</v>
      </c>
      <c r="H317" s="8" t="s">
        <v>40</v>
      </c>
      <c r="I317" s="9">
        <v>65174.239999999998</v>
      </c>
      <c r="J317" s="9">
        <v>17191.669999999998</v>
      </c>
      <c r="K317" s="8" t="s">
        <v>41</v>
      </c>
      <c r="L317" s="10">
        <v>64821.77</v>
      </c>
      <c r="M317" s="8" t="s">
        <v>29</v>
      </c>
      <c r="N317" s="9">
        <v>33911.1</v>
      </c>
      <c r="O317" s="8" t="s">
        <v>30</v>
      </c>
      <c r="P317" t="str">
        <f>TEXT(Table1[[#This Row],[Transaction_Date]],"mmm")</f>
        <v>May</v>
      </c>
      <c r="Q317" s="11">
        <v>45788</v>
      </c>
      <c r="R317" s="8" t="s">
        <v>877</v>
      </c>
      <c r="S317" s="8" t="s">
        <v>44</v>
      </c>
      <c r="T317" s="9">
        <v>6119.94</v>
      </c>
      <c r="U317" t="s">
        <v>71</v>
      </c>
      <c r="V317" s="8" t="s">
        <v>62</v>
      </c>
      <c r="W317"/>
      <c r="X317"/>
    </row>
    <row r="318" spans="1:24" hidden="1" x14ac:dyDescent="0.3">
      <c r="A318" t="s">
        <v>878</v>
      </c>
      <c r="B318" t="s">
        <v>879</v>
      </c>
      <c r="C318">
        <v>39</v>
      </c>
      <c r="D318" t="s">
        <v>65</v>
      </c>
      <c r="E318" t="s">
        <v>66</v>
      </c>
      <c r="F318" t="s">
        <v>65</v>
      </c>
      <c r="G318" t="s">
        <v>80</v>
      </c>
      <c r="H318" s="8" t="s">
        <v>27</v>
      </c>
      <c r="I318" s="9">
        <v>46870.32</v>
      </c>
      <c r="J318" s="9">
        <v>38450.49</v>
      </c>
      <c r="K318" s="8" t="s">
        <v>74</v>
      </c>
      <c r="L318" s="10">
        <v>0</v>
      </c>
      <c r="M318" s="8" t="s">
        <v>75</v>
      </c>
      <c r="N318" s="9">
        <v>0</v>
      </c>
      <c r="O318" s="8" t="s">
        <v>30</v>
      </c>
      <c r="P318" t="str">
        <f>TEXT(Table1[[#This Row],[Transaction_Date]],"mmm")</f>
        <v>Apr</v>
      </c>
      <c r="Q318" s="11">
        <v>45775</v>
      </c>
      <c r="R318" s="8" t="s">
        <v>880</v>
      </c>
      <c r="S318" s="8" t="s">
        <v>70</v>
      </c>
      <c r="T318" s="9">
        <v>2859.47</v>
      </c>
      <c r="U318" t="s">
        <v>71</v>
      </c>
      <c r="V318" s="8" t="s">
        <v>34</v>
      </c>
      <c r="W318"/>
      <c r="X318"/>
    </row>
    <row r="319" spans="1:24" hidden="1" x14ac:dyDescent="0.3">
      <c r="A319" t="s">
        <v>881</v>
      </c>
      <c r="B319" t="s">
        <v>197</v>
      </c>
      <c r="C319">
        <v>24</v>
      </c>
      <c r="D319" t="s">
        <v>92</v>
      </c>
      <c r="E319" t="s">
        <v>93</v>
      </c>
      <c r="F319" t="s">
        <v>92</v>
      </c>
      <c r="G319" t="s">
        <v>26</v>
      </c>
      <c r="H319" s="8" t="s">
        <v>27</v>
      </c>
      <c r="I319" s="9">
        <v>44713.74</v>
      </c>
      <c r="J319" s="9">
        <v>35965.82</v>
      </c>
      <c r="K319" s="8" t="s">
        <v>41</v>
      </c>
      <c r="L319" s="10">
        <v>59198.559999999998</v>
      </c>
      <c r="M319" s="8" t="s">
        <v>29</v>
      </c>
      <c r="N319" s="9">
        <v>16551.57</v>
      </c>
      <c r="O319" s="8" t="s">
        <v>30</v>
      </c>
      <c r="P319" t="str">
        <f>TEXT(Table1[[#This Row],[Transaction_Date]],"mmm")</f>
        <v>Jan</v>
      </c>
      <c r="Q319" s="11">
        <v>45659</v>
      </c>
      <c r="R319" s="8" t="s">
        <v>882</v>
      </c>
      <c r="S319" s="8" t="s">
        <v>44</v>
      </c>
      <c r="T319" s="9">
        <v>6934.29</v>
      </c>
      <c r="U319" t="s">
        <v>61</v>
      </c>
      <c r="V319" s="8" t="s">
        <v>34</v>
      </c>
      <c r="W319"/>
      <c r="X319"/>
    </row>
    <row r="320" spans="1:24" x14ac:dyDescent="0.3">
      <c r="A320" t="s">
        <v>883</v>
      </c>
      <c r="B320" t="s">
        <v>162</v>
      </c>
      <c r="C320">
        <v>37</v>
      </c>
      <c r="D320" t="s">
        <v>92</v>
      </c>
      <c r="E320" t="s">
        <v>93</v>
      </c>
      <c r="F320" t="s">
        <v>92</v>
      </c>
      <c r="G320" t="s">
        <v>39</v>
      </c>
      <c r="H320" s="8" t="s">
        <v>40</v>
      </c>
      <c r="I320" s="9">
        <v>52793.19</v>
      </c>
      <c r="J320" s="9">
        <v>14725.43</v>
      </c>
      <c r="K320" s="8" t="s">
        <v>52</v>
      </c>
      <c r="L320" s="10">
        <v>58522.69</v>
      </c>
      <c r="M320" s="8" t="s">
        <v>29</v>
      </c>
      <c r="N320" s="9">
        <v>28721.26</v>
      </c>
      <c r="O320" s="8" t="s">
        <v>30</v>
      </c>
      <c r="P320" t="str">
        <f>TEXT(Table1[[#This Row],[Transaction_Date]],"mmm")</f>
        <v>May</v>
      </c>
      <c r="Q320" s="11">
        <v>45787</v>
      </c>
      <c r="R320" s="8" t="s">
        <v>884</v>
      </c>
      <c r="S320" s="8" t="s">
        <v>54</v>
      </c>
      <c r="T320" s="9">
        <v>3767.06</v>
      </c>
      <c r="U320" t="s">
        <v>71</v>
      </c>
      <c r="V320" s="8" t="s">
        <v>62</v>
      </c>
      <c r="W320"/>
      <c r="X320"/>
    </row>
    <row r="321" spans="1:24" hidden="1" x14ac:dyDescent="0.3">
      <c r="A321" t="s">
        <v>885</v>
      </c>
      <c r="B321" t="s">
        <v>126</v>
      </c>
      <c r="C321">
        <v>34</v>
      </c>
      <c r="D321" t="s">
        <v>57</v>
      </c>
      <c r="E321" t="s">
        <v>58</v>
      </c>
      <c r="F321" t="s">
        <v>57</v>
      </c>
      <c r="G321" t="s">
        <v>51</v>
      </c>
      <c r="H321" s="8" t="s">
        <v>40</v>
      </c>
      <c r="I321" s="9">
        <v>77176.09</v>
      </c>
      <c r="J321" s="9">
        <v>58423.4</v>
      </c>
      <c r="K321" s="8" t="s">
        <v>59</v>
      </c>
      <c r="L321" s="10">
        <v>39648.03</v>
      </c>
      <c r="M321" s="8" t="s">
        <v>29</v>
      </c>
      <c r="N321" s="9">
        <v>19634.759999999998</v>
      </c>
      <c r="O321" s="8" t="s">
        <v>30</v>
      </c>
      <c r="P321" t="str">
        <f>TEXT(Table1[[#This Row],[Transaction_Date]],"mmm")</f>
        <v>Feb</v>
      </c>
      <c r="Q321" s="11">
        <v>45705</v>
      </c>
      <c r="R321" s="8" t="s">
        <v>886</v>
      </c>
      <c r="S321" s="8" t="s">
        <v>70</v>
      </c>
      <c r="T321" s="9">
        <v>4710.84</v>
      </c>
      <c r="U321" t="s">
        <v>45</v>
      </c>
      <c r="V321" s="8" t="s">
        <v>46</v>
      </c>
      <c r="W321"/>
      <c r="X321"/>
    </row>
    <row r="322" spans="1:24" x14ac:dyDescent="0.3">
      <c r="A322" t="s">
        <v>887</v>
      </c>
      <c r="B322" t="s">
        <v>221</v>
      </c>
      <c r="C322">
        <v>33</v>
      </c>
      <c r="D322" t="s">
        <v>92</v>
      </c>
      <c r="E322" t="s">
        <v>93</v>
      </c>
      <c r="F322" t="s">
        <v>92</v>
      </c>
      <c r="G322" t="s">
        <v>39</v>
      </c>
      <c r="H322" s="8" t="s">
        <v>40</v>
      </c>
      <c r="I322" s="9">
        <v>60624.06</v>
      </c>
      <c r="J322" s="9">
        <v>18591.91</v>
      </c>
      <c r="K322" s="8" t="s">
        <v>74</v>
      </c>
      <c r="L322" s="10">
        <v>0</v>
      </c>
      <c r="M322" s="8" t="s">
        <v>75</v>
      </c>
      <c r="N322" s="9">
        <v>0</v>
      </c>
      <c r="O322" s="8" t="s">
        <v>30</v>
      </c>
      <c r="P322" t="str">
        <f>TEXT(Table1[[#This Row],[Transaction_Date]],"mmm")</f>
        <v>Apr</v>
      </c>
      <c r="Q322" s="11">
        <v>45750</v>
      </c>
      <c r="R322" s="8" t="s">
        <v>888</v>
      </c>
      <c r="S322" s="8" t="s">
        <v>44</v>
      </c>
      <c r="T322" s="9">
        <v>14210.01</v>
      </c>
      <c r="U322" t="s">
        <v>33</v>
      </c>
      <c r="V322" s="8" t="s">
        <v>46</v>
      </c>
      <c r="W322"/>
      <c r="X322"/>
    </row>
    <row r="323" spans="1:24" hidden="1" x14ac:dyDescent="0.3">
      <c r="A323" t="s">
        <v>889</v>
      </c>
      <c r="B323" t="s">
        <v>497</v>
      </c>
      <c r="C323">
        <v>39</v>
      </c>
      <c r="D323" t="s">
        <v>57</v>
      </c>
      <c r="E323" t="s">
        <v>58</v>
      </c>
      <c r="F323" t="s">
        <v>57</v>
      </c>
      <c r="G323" t="s">
        <v>51</v>
      </c>
      <c r="H323" s="8" t="s">
        <v>40</v>
      </c>
      <c r="I323" s="9">
        <v>57896.73</v>
      </c>
      <c r="J323" s="9">
        <v>69663.789999999994</v>
      </c>
      <c r="K323" s="8" t="s">
        <v>74</v>
      </c>
      <c r="L323" s="10">
        <v>0</v>
      </c>
      <c r="M323" s="8" t="s">
        <v>75</v>
      </c>
      <c r="N323" s="9">
        <v>0</v>
      </c>
      <c r="O323" s="8" t="s">
        <v>30</v>
      </c>
      <c r="P323" t="str">
        <f>TEXT(Table1[[#This Row],[Transaction_Date]],"mmm")</f>
        <v>May</v>
      </c>
      <c r="Q323" s="11">
        <v>45802</v>
      </c>
      <c r="R323" s="8" t="s">
        <v>890</v>
      </c>
      <c r="S323" s="8" t="s">
        <v>32</v>
      </c>
      <c r="T323" s="9">
        <v>1930.11</v>
      </c>
      <c r="U323" t="s">
        <v>33</v>
      </c>
      <c r="V323" s="8" t="s">
        <v>46</v>
      </c>
      <c r="W323"/>
      <c r="X323"/>
    </row>
    <row r="324" spans="1:24" hidden="1" x14ac:dyDescent="0.3">
      <c r="A324" t="s">
        <v>891</v>
      </c>
      <c r="B324" t="s">
        <v>203</v>
      </c>
      <c r="C324">
        <v>54</v>
      </c>
      <c r="D324" t="s">
        <v>84</v>
      </c>
      <c r="E324" t="s">
        <v>85</v>
      </c>
      <c r="F324" t="s">
        <v>84</v>
      </c>
      <c r="G324" t="s">
        <v>80</v>
      </c>
      <c r="H324" s="8" t="s">
        <v>27</v>
      </c>
      <c r="I324" s="9">
        <v>59214.7</v>
      </c>
      <c r="J324" s="9">
        <v>32355.37</v>
      </c>
      <c r="K324" s="8" t="s">
        <v>74</v>
      </c>
      <c r="L324" s="10">
        <v>0</v>
      </c>
      <c r="M324" s="8" t="s">
        <v>75</v>
      </c>
      <c r="N324" s="9">
        <v>0</v>
      </c>
      <c r="O324" s="8" t="s">
        <v>30</v>
      </c>
      <c r="P324" t="str">
        <f>TEXT(Table1[[#This Row],[Transaction_Date]],"mmm")</f>
        <v>Mar</v>
      </c>
      <c r="Q324" s="11">
        <v>45738</v>
      </c>
      <c r="R324" s="8" t="s">
        <v>892</v>
      </c>
      <c r="S324" s="8" t="s">
        <v>70</v>
      </c>
      <c r="T324" s="9">
        <v>1724.54</v>
      </c>
      <c r="U324" t="s">
        <v>71</v>
      </c>
      <c r="V324" s="8" t="s">
        <v>62</v>
      </c>
      <c r="W324"/>
      <c r="X324"/>
    </row>
    <row r="325" spans="1:24" x14ac:dyDescent="0.3">
      <c r="A325" t="s">
        <v>893</v>
      </c>
      <c r="B325" t="s">
        <v>104</v>
      </c>
      <c r="C325">
        <v>25</v>
      </c>
      <c r="D325" t="s">
        <v>49</v>
      </c>
      <c r="E325" t="s">
        <v>50</v>
      </c>
      <c r="F325" t="s">
        <v>49</v>
      </c>
      <c r="G325" t="s">
        <v>39</v>
      </c>
      <c r="H325" s="8" t="s">
        <v>40</v>
      </c>
      <c r="I325" s="9">
        <v>42939.59</v>
      </c>
      <c r="J325" s="9">
        <v>37892.910000000003</v>
      </c>
      <c r="K325" s="8" t="s">
        <v>52</v>
      </c>
      <c r="L325" s="10">
        <v>253364.48000000001</v>
      </c>
      <c r="M325" s="8" t="s">
        <v>29</v>
      </c>
      <c r="N325" s="9">
        <v>103262.65</v>
      </c>
      <c r="O325" s="8" t="s">
        <v>30</v>
      </c>
      <c r="P325" t="str">
        <f>TEXT(Table1[[#This Row],[Transaction_Date]],"mmm")</f>
        <v>Nov</v>
      </c>
      <c r="Q325" s="11">
        <v>45963</v>
      </c>
      <c r="R325" s="8" t="s">
        <v>894</v>
      </c>
      <c r="S325" s="8" t="s">
        <v>54</v>
      </c>
      <c r="T325" s="9">
        <v>1923.42</v>
      </c>
      <c r="U325" t="s">
        <v>77</v>
      </c>
      <c r="V325" s="8" t="s">
        <v>62</v>
      </c>
      <c r="W325"/>
      <c r="X325"/>
    </row>
    <row r="326" spans="1:24" x14ac:dyDescent="0.3">
      <c r="A326" t="s">
        <v>895</v>
      </c>
      <c r="B326" t="s">
        <v>276</v>
      </c>
      <c r="C326">
        <v>47</v>
      </c>
      <c r="D326" t="s">
        <v>92</v>
      </c>
      <c r="E326" t="s">
        <v>93</v>
      </c>
      <c r="F326" t="s">
        <v>92</v>
      </c>
      <c r="G326" t="s">
        <v>39</v>
      </c>
      <c r="H326" s="8" t="s">
        <v>27</v>
      </c>
      <c r="I326" s="9">
        <v>55643.53</v>
      </c>
      <c r="J326" s="9">
        <v>36643.910000000003</v>
      </c>
      <c r="K326" s="8" t="s">
        <v>74</v>
      </c>
      <c r="L326" s="10">
        <v>0</v>
      </c>
      <c r="M326" s="8" t="s">
        <v>75</v>
      </c>
      <c r="N326" s="9">
        <v>0</v>
      </c>
      <c r="O326" s="8" t="s">
        <v>30</v>
      </c>
      <c r="P326" t="str">
        <f>TEXT(Table1[[#This Row],[Transaction_Date]],"mmm")</f>
        <v>Aug</v>
      </c>
      <c r="Q326" s="11">
        <v>45899</v>
      </c>
      <c r="R326" s="8" t="s">
        <v>896</v>
      </c>
      <c r="S326" s="8" t="s">
        <v>54</v>
      </c>
      <c r="T326" s="9">
        <v>3184.96</v>
      </c>
      <c r="U326" t="s">
        <v>61</v>
      </c>
      <c r="V326" s="8" t="s">
        <v>34</v>
      </c>
      <c r="W326"/>
      <c r="X326"/>
    </row>
    <row r="327" spans="1:24" x14ac:dyDescent="0.3">
      <c r="A327" t="s">
        <v>897</v>
      </c>
      <c r="B327" t="s">
        <v>784</v>
      </c>
      <c r="C327">
        <v>21</v>
      </c>
      <c r="D327" t="s">
        <v>97</v>
      </c>
      <c r="E327" t="s">
        <v>98</v>
      </c>
      <c r="F327" t="s">
        <v>97</v>
      </c>
      <c r="G327" t="s">
        <v>39</v>
      </c>
      <c r="H327" s="8" t="s">
        <v>40</v>
      </c>
      <c r="I327" s="9">
        <v>81246.850000000006</v>
      </c>
      <c r="J327" s="9">
        <v>39106.89</v>
      </c>
      <c r="K327" s="8" t="s">
        <v>74</v>
      </c>
      <c r="L327" s="10">
        <v>0</v>
      </c>
      <c r="M327" s="8" t="s">
        <v>75</v>
      </c>
      <c r="N327" s="9">
        <v>0</v>
      </c>
      <c r="O327" s="8" t="s">
        <v>30</v>
      </c>
      <c r="P327" t="str">
        <f>TEXT(Table1[[#This Row],[Transaction_Date]],"mmm")</f>
        <v>Oct</v>
      </c>
      <c r="Q327" s="11">
        <v>45955</v>
      </c>
      <c r="R327" s="8" t="s">
        <v>898</v>
      </c>
      <c r="S327" s="8" t="s">
        <v>54</v>
      </c>
      <c r="T327" s="9">
        <v>3595.48</v>
      </c>
      <c r="U327" t="s">
        <v>71</v>
      </c>
      <c r="V327" s="8" t="s">
        <v>62</v>
      </c>
      <c r="W327"/>
      <c r="X327"/>
    </row>
    <row r="328" spans="1:24" x14ac:dyDescent="0.3">
      <c r="A328" t="s">
        <v>899</v>
      </c>
      <c r="B328" t="s">
        <v>545</v>
      </c>
      <c r="C328">
        <v>39</v>
      </c>
      <c r="D328" t="s">
        <v>49</v>
      </c>
      <c r="E328" t="s">
        <v>50</v>
      </c>
      <c r="F328" t="s">
        <v>49</v>
      </c>
      <c r="G328" t="s">
        <v>39</v>
      </c>
      <c r="H328" s="8" t="s">
        <v>40</v>
      </c>
      <c r="I328" s="9">
        <v>87453.55</v>
      </c>
      <c r="J328" s="9">
        <v>14195.04</v>
      </c>
      <c r="K328" s="8" t="s">
        <v>28</v>
      </c>
      <c r="L328" s="10">
        <v>33141.410000000003</v>
      </c>
      <c r="M328" s="8" t="s">
        <v>29</v>
      </c>
      <c r="N328" s="9">
        <v>30086.89</v>
      </c>
      <c r="O328" s="8" t="s">
        <v>30</v>
      </c>
      <c r="P328" t="str">
        <f>TEXT(Table1[[#This Row],[Transaction_Date]],"mmm")</f>
        <v>Jun</v>
      </c>
      <c r="Q328" s="11">
        <v>45832</v>
      </c>
      <c r="R328" s="8" t="s">
        <v>900</v>
      </c>
      <c r="S328" s="8" t="s">
        <v>44</v>
      </c>
      <c r="T328" s="9">
        <v>2523.84</v>
      </c>
      <c r="U328" t="s">
        <v>33</v>
      </c>
      <c r="V328" s="8" t="s">
        <v>34</v>
      </c>
      <c r="W328"/>
      <c r="X328"/>
    </row>
    <row r="329" spans="1:24" hidden="1" x14ac:dyDescent="0.3">
      <c r="A329" t="s">
        <v>901</v>
      </c>
      <c r="B329" t="s">
        <v>265</v>
      </c>
      <c r="C329">
        <v>31</v>
      </c>
      <c r="D329" t="s">
        <v>57</v>
      </c>
      <c r="E329" t="s">
        <v>58</v>
      </c>
      <c r="F329" t="s">
        <v>57</v>
      </c>
      <c r="G329" t="s">
        <v>26</v>
      </c>
      <c r="H329" s="8" t="s">
        <v>40</v>
      </c>
      <c r="I329" s="9">
        <v>47814.28</v>
      </c>
      <c r="J329" s="9">
        <v>28967.599999999999</v>
      </c>
      <c r="K329" s="8" t="s">
        <v>28</v>
      </c>
      <c r="L329" s="10">
        <v>73894.91</v>
      </c>
      <c r="M329" s="8" t="s">
        <v>29</v>
      </c>
      <c r="N329" s="9">
        <v>30585.42</v>
      </c>
      <c r="O329" s="8" t="s">
        <v>30</v>
      </c>
      <c r="P329" t="str">
        <f>TEXT(Table1[[#This Row],[Transaction_Date]],"mmm")</f>
        <v>Aug</v>
      </c>
      <c r="Q329" s="11">
        <v>45886</v>
      </c>
      <c r="R329" s="8" t="s">
        <v>902</v>
      </c>
      <c r="S329" s="8" t="s">
        <v>44</v>
      </c>
      <c r="T329" s="9">
        <v>7411.09</v>
      </c>
      <c r="U329" t="s">
        <v>71</v>
      </c>
      <c r="V329" s="8" t="s">
        <v>62</v>
      </c>
      <c r="W329"/>
      <c r="X329"/>
    </row>
    <row r="330" spans="1:24" hidden="1" x14ac:dyDescent="0.3">
      <c r="A330" t="s">
        <v>903</v>
      </c>
      <c r="B330" t="s">
        <v>904</v>
      </c>
      <c r="C330">
        <v>37</v>
      </c>
      <c r="D330" t="s">
        <v>57</v>
      </c>
      <c r="E330" t="s">
        <v>58</v>
      </c>
      <c r="F330" t="s">
        <v>57</v>
      </c>
      <c r="G330" t="s">
        <v>26</v>
      </c>
      <c r="H330" s="8" t="s">
        <v>67</v>
      </c>
      <c r="I330" s="9">
        <v>12000</v>
      </c>
      <c r="J330" s="9">
        <v>14029.14</v>
      </c>
      <c r="K330" s="8" t="s">
        <v>59</v>
      </c>
      <c r="L330" s="10">
        <v>35565.730000000003</v>
      </c>
      <c r="M330" s="8" t="s">
        <v>29</v>
      </c>
      <c r="N330" s="9">
        <v>9843.7199999999993</v>
      </c>
      <c r="O330" s="8" t="s">
        <v>30</v>
      </c>
      <c r="P330" t="str">
        <f>TEXT(Table1[[#This Row],[Transaction_Date]],"mmm")</f>
        <v>Apr</v>
      </c>
      <c r="Q330" s="11">
        <v>45765</v>
      </c>
      <c r="R330" s="8" t="s">
        <v>905</v>
      </c>
      <c r="S330" s="8" t="s">
        <v>32</v>
      </c>
      <c r="T330" s="9">
        <v>8212.14</v>
      </c>
      <c r="U330" t="s">
        <v>33</v>
      </c>
      <c r="V330" s="8" t="s">
        <v>62</v>
      </c>
      <c r="W330"/>
      <c r="X330"/>
    </row>
    <row r="331" spans="1:24" x14ac:dyDescent="0.3">
      <c r="A331" t="s">
        <v>906</v>
      </c>
      <c r="B331" t="s">
        <v>907</v>
      </c>
      <c r="C331">
        <v>18</v>
      </c>
      <c r="D331" t="s">
        <v>97</v>
      </c>
      <c r="E331" t="s">
        <v>98</v>
      </c>
      <c r="F331" t="s">
        <v>97</v>
      </c>
      <c r="G331" t="s">
        <v>39</v>
      </c>
      <c r="H331" s="8" t="s">
        <v>51</v>
      </c>
      <c r="I331" s="9">
        <v>64051.86</v>
      </c>
      <c r="J331" s="9">
        <v>16816.54</v>
      </c>
      <c r="K331" s="8" t="s">
        <v>74</v>
      </c>
      <c r="L331" s="10">
        <v>0</v>
      </c>
      <c r="M331" s="8" t="s">
        <v>75</v>
      </c>
      <c r="N331" s="9">
        <v>0</v>
      </c>
      <c r="O331" s="8" t="s">
        <v>30</v>
      </c>
      <c r="P331" t="str">
        <f>TEXT(Table1[[#This Row],[Transaction_Date]],"mmm")</f>
        <v>Jan</v>
      </c>
      <c r="Q331" s="11">
        <v>45662</v>
      </c>
      <c r="R331" s="8" t="s">
        <v>908</v>
      </c>
      <c r="S331" s="8" t="s">
        <v>54</v>
      </c>
      <c r="T331" s="9">
        <v>1573.56</v>
      </c>
      <c r="U331" t="s">
        <v>33</v>
      </c>
      <c r="V331" s="8" t="s">
        <v>62</v>
      </c>
      <c r="W331"/>
      <c r="X331"/>
    </row>
    <row r="332" spans="1:24" x14ac:dyDescent="0.3">
      <c r="A332" t="s">
        <v>909</v>
      </c>
      <c r="B332" t="s">
        <v>387</v>
      </c>
      <c r="C332">
        <v>49</v>
      </c>
      <c r="D332" t="s">
        <v>97</v>
      </c>
      <c r="E332" t="s">
        <v>98</v>
      </c>
      <c r="F332" t="s">
        <v>97</v>
      </c>
      <c r="G332" t="s">
        <v>39</v>
      </c>
      <c r="H332" s="8" t="s">
        <v>51</v>
      </c>
      <c r="I332" s="9">
        <v>43137.29</v>
      </c>
      <c r="J332" s="9">
        <v>9060.77</v>
      </c>
      <c r="K332" s="8" t="s">
        <v>68</v>
      </c>
      <c r="L332" s="10">
        <v>75804.59</v>
      </c>
      <c r="M332" s="8" t="s">
        <v>42</v>
      </c>
      <c r="N332" s="9">
        <v>0</v>
      </c>
      <c r="O332" s="8" t="s">
        <v>30</v>
      </c>
      <c r="P332" t="str">
        <f>TEXT(Table1[[#This Row],[Transaction_Date]],"mmm")</f>
        <v>Dec</v>
      </c>
      <c r="Q332" s="11">
        <v>45998</v>
      </c>
      <c r="R332" s="8" t="s">
        <v>910</v>
      </c>
      <c r="S332" s="8" t="s">
        <v>44</v>
      </c>
      <c r="T332" s="9">
        <v>3081.85</v>
      </c>
      <c r="U332" t="s">
        <v>45</v>
      </c>
      <c r="V332" s="8" t="s">
        <v>46</v>
      </c>
      <c r="W332"/>
      <c r="X332"/>
    </row>
    <row r="333" spans="1:24" x14ac:dyDescent="0.3">
      <c r="A333" t="s">
        <v>911</v>
      </c>
      <c r="B333" t="s">
        <v>157</v>
      </c>
      <c r="C333">
        <v>34</v>
      </c>
      <c r="D333" t="s">
        <v>97</v>
      </c>
      <c r="E333" t="s">
        <v>98</v>
      </c>
      <c r="F333" t="s">
        <v>97</v>
      </c>
      <c r="G333" t="s">
        <v>39</v>
      </c>
      <c r="H333" s="8" t="s">
        <v>27</v>
      </c>
      <c r="I333" s="9">
        <v>21729.94</v>
      </c>
      <c r="J333" s="9">
        <v>18227.63</v>
      </c>
      <c r="K333" s="8" t="s">
        <v>74</v>
      </c>
      <c r="L333" s="10">
        <v>0</v>
      </c>
      <c r="M333" s="8" t="s">
        <v>75</v>
      </c>
      <c r="N333" s="9">
        <v>0</v>
      </c>
      <c r="O333" s="8" t="s">
        <v>30</v>
      </c>
      <c r="P333" t="str">
        <f>TEXT(Table1[[#This Row],[Transaction_Date]],"mmm")</f>
        <v>Dec</v>
      </c>
      <c r="Q333" s="11">
        <v>46010</v>
      </c>
      <c r="R333" s="8" t="s">
        <v>912</v>
      </c>
      <c r="S333" s="8" t="s">
        <v>54</v>
      </c>
      <c r="T333" s="9">
        <v>1697.82</v>
      </c>
      <c r="U333" t="s">
        <v>106</v>
      </c>
      <c r="V333" s="8" t="s">
        <v>62</v>
      </c>
      <c r="W333"/>
      <c r="X333"/>
    </row>
    <row r="334" spans="1:24" hidden="1" x14ac:dyDescent="0.3">
      <c r="A334" t="s">
        <v>913</v>
      </c>
      <c r="B334" t="s">
        <v>914</v>
      </c>
      <c r="C334">
        <v>51</v>
      </c>
      <c r="D334" t="s">
        <v>65</v>
      </c>
      <c r="E334" t="s">
        <v>66</v>
      </c>
      <c r="F334" t="s">
        <v>65</v>
      </c>
      <c r="G334" t="s">
        <v>51</v>
      </c>
      <c r="H334" s="8" t="s">
        <v>40</v>
      </c>
      <c r="I334" s="9">
        <v>85062.399999999994</v>
      </c>
      <c r="J334" s="9">
        <v>17856.28</v>
      </c>
      <c r="K334" s="8" t="s">
        <v>28</v>
      </c>
      <c r="L334" s="10">
        <v>57589.82</v>
      </c>
      <c r="M334" s="8" t="s">
        <v>29</v>
      </c>
      <c r="N334" s="9">
        <v>30032.12</v>
      </c>
      <c r="O334" s="8" t="s">
        <v>30</v>
      </c>
      <c r="P334" t="str">
        <f>TEXT(Table1[[#This Row],[Transaction_Date]],"mmm")</f>
        <v>Mar</v>
      </c>
      <c r="Q334" s="11">
        <v>45728</v>
      </c>
      <c r="R334" s="8" t="s">
        <v>915</v>
      </c>
      <c r="S334" s="8" t="s">
        <v>70</v>
      </c>
      <c r="T334" s="9">
        <v>5407.22</v>
      </c>
      <c r="U334" t="s">
        <v>61</v>
      </c>
      <c r="V334" s="8" t="s">
        <v>62</v>
      </c>
      <c r="W334"/>
      <c r="X334"/>
    </row>
    <row r="335" spans="1:24" x14ac:dyDescent="0.3">
      <c r="A335" t="s">
        <v>916</v>
      </c>
      <c r="B335" t="s">
        <v>191</v>
      </c>
      <c r="C335">
        <v>30</v>
      </c>
      <c r="D335" t="s">
        <v>57</v>
      </c>
      <c r="E335" t="s">
        <v>58</v>
      </c>
      <c r="F335" t="s">
        <v>57</v>
      </c>
      <c r="G335" t="s">
        <v>39</v>
      </c>
      <c r="H335" s="8" t="s">
        <v>40</v>
      </c>
      <c r="I335" s="9">
        <v>74496.210000000006</v>
      </c>
      <c r="J335" s="9">
        <v>71743.91</v>
      </c>
      <c r="K335" s="8" t="s">
        <v>74</v>
      </c>
      <c r="L335" s="10">
        <v>0</v>
      </c>
      <c r="M335" s="8" t="s">
        <v>75</v>
      </c>
      <c r="N335" s="9">
        <v>0</v>
      </c>
      <c r="O335" s="8" t="s">
        <v>30</v>
      </c>
      <c r="P335" t="str">
        <f>TEXT(Table1[[#This Row],[Transaction_Date]],"mmm")</f>
        <v>Oct</v>
      </c>
      <c r="Q335" s="11">
        <v>45938</v>
      </c>
      <c r="R335" s="8" t="s">
        <v>917</v>
      </c>
      <c r="S335" s="8" t="s">
        <v>44</v>
      </c>
      <c r="T335" s="9">
        <v>5146.05</v>
      </c>
      <c r="U335" t="s">
        <v>33</v>
      </c>
      <c r="V335" s="8" t="s">
        <v>62</v>
      </c>
      <c r="W335"/>
      <c r="X335"/>
    </row>
    <row r="336" spans="1:24" x14ac:dyDescent="0.3">
      <c r="A336" t="s">
        <v>918</v>
      </c>
      <c r="B336" t="s">
        <v>304</v>
      </c>
      <c r="C336">
        <v>22</v>
      </c>
      <c r="D336" t="s">
        <v>24</v>
      </c>
      <c r="E336" t="s">
        <v>25</v>
      </c>
      <c r="F336" t="s">
        <v>24</v>
      </c>
      <c r="G336" t="s">
        <v>39</v>
      </c>
      <c r="H336" s="8" t="s">
        <v>67</v>
      </c>
      <c r="I336" s="9">
        <v>78563.539999999994</v>
      </c>
      <c r="J336" s="9">
        <v>19185.04</v>
      </c>
      <c r="K336" s="8" t="s">
        <v>68</v>
      </c>
      <c r="L336" s="10">
        <v>44999.39</v>
      </c>
      <c r="M336" s="8" t="s">
        <v>29</v>
      </c>
      <c r="N336" s="9">
        <v>40194.9</v>
      </c>
      <c r="O336" s="8" t="s">
        <v>30</v>
      </c>
      <c r="P336" t="str">
        <f>TEXT(Table1[[#This Row],[Transaction_Date]],"mmm")</f>
        <v>Dec</v>
      </c>
      <c r="Q336" s="11">
        <v>46011</v>
      </c>
      <c r="R336" s="8" t="s">
        <v>919</v>
      </c>
      <c r="S336" s="8" t="s">
        <v>44</v>
      </c>
      <c r="T336" s="9">
        <v>1559.83</v>
      </c>
      <c r="U336" t="s">
        <v>77</v>
      </c>
      <c r="V336" s="8" t="s">
        <v>62</v>
      </c>
      <c r="W336"/>
      <c r="X336"/>
    </row>
    <row r="337" spans="1:24" x14ac:dyDescent="0.3">
      <c r="A337" t="s">
        <v>920</v>
      </c>
      <c r="B337" t="s">
        <v>921</v>
      </c>
      <c r="C337">
        <v>39</v>
      </c>
      <c r="D337" t="s">
        <v>84</v>
      </c>
      <c r="E337" t="s">
        <v>85</v>
      </c>
      <c r="F337" t="s">
        <v>84</v>
      </c>
      <c r="G337" t="s">
        <v>39</v>
      </c>
      <c r="H337" s="8" t="s">
        <v>67</v>
      </c>
      <c r="I337" s="9">
        <v>35995.42</v>
      </c>
      <c r="J337" s="9">
        <v>14642.18</v>
      </c>
      <c r="K337" s="8" t="s">
        <v>68</v>
      </c>
      <c r="L337" s="10">
        <v>25000</v>
      </c>
      <c r="M337" s="8" t="s">
        <v>29</v>
      </c>
      <c r="N337" s="9">
        <v>22512.09</v>
      </c>
      <c r="O337" s="8" t="s">
        <v>30</v>
      </c>
      <c r="P337" t="str">
        <f>TEXT(Table1[[#This Row],[Transaction_Date]],"mmm")</f>
        <v>Aug</v>
      </c>
      <c r="Q337" s="11">
        <v>45896</v>
      </c>
      <c r="R337" s="8" t="s">
        <v>922</v>
      </c>
      <c r="S337" s="8" t="s">
        <v>44</v>
      </c>
      <c r="T337" s="9">
        <v>2536.96</v>
      </c>
      <c r="U337" t="s">
        <v>77</v>
      </c>
      <c r="V337" s="8" t="s">
        <v>62</v>
      </c>
      <c r="W337"/>
      <c r="X337"/>
    </row>
    <row r="338" spans="1:24" hidden="1" x14ac:dyDescent="0.3">
      <c r="A338" t="s">
        <v>923</v>
      </c>
      <c r="B338" t="s">
        <v>542</v>
      </c>
      <c r="C338">
        <v>42</v>
      </c>
      <c r="D338" t="s">
        <v>65</v>
      </c>
      <c r="E338" t="s">
        <v>66</v>
      </c>
      <c r="F338" t="s">
        <v>65</v>
      </c>
      <c r="G338" t="s">
        <v>26</v>
      </c>
      <c r="H338" s="8" t="s">
        <v>40</v>
      </c>
      <c r="I338" s="9">
        <v>12000</v>
      </c>
      <c r="J338" s="9">
        <v>7221.89</v>
      </c>
      <c r="K338" s="8" t="s">
        <v>74</v>
      </c>
      <c r="L338" s="10">
        <v>0</v>
      </c>
      <c r="M338" s="8" t="s">
        <v>75</v>
      </c>
      <c r="N338" s="9">
        <v>0</v>
      </c>
      <c r="O338" s="8" t="s">
        <v>30</v>
      </c>
      <c r="P338" t="str">
        <f>TEXT(Table1[[#This Row],[Transaction_Date]],"mmm")</f>
        <v>Jul</v>
      </c>
      <c r="Q338" s="11">
        <v>45852</v>
      </c>
      <c r="R338" s="8" t="s">
        <v>924</v>
      </c>
      <c r="S338" s="8" t="s">
        <v>70</v>
      </c>
      <c r="T338" s="9">
        <v>1386.02</v>
      </c>
      <c r="U338" t="s">
        <v>33</v>
      </c>
      <c r="V338" s="8" t="s">
        <v>34</v>
      </c>
      <c r="W338"/>
      <c r="X338"/>
    </row>
    <row r="339" spans="1:24" x14ac:dyDescent="0.3">
      <c r="A339" t="s">
        <v>925</v>
      </c>
      <c r="B339" t="s">
        <v>282</v>
      </c>
      <c r="C339">
        <v>37</v>
      </c>
      <c r="D339" t="s">
        <v>49</v>
      </c>
      <c r="E339" t="s">
        <v>50</v>
      </c>
      <c r="F339" t="s">
        <v>49</v>
      </c>
      <c r="G339" t="s">
        <v>39</v>
      </c>
      <c r="H339" s="8" t="s">
        <v>51</v>
      </c>
      <c r="I339" s="9">
        <v>12000</v>
      </c>
      <c r="J339" s="9">
        <v>25772.400000000001</v>
      </c>
      <c r="K339" s="8" t="s">
        <v>68</v>
      </c>
      <c r="L339" s="10">
        <v>83453.11</v>
      </c>
      <c r="M339" s="8" t="s">
        <v>29</v>
      </c>
      <c r="N339" s="9">
        <v>27685.91</v>
      </c>
      <c r="O339" s="8" t="s">
        <v>30</v>
      </c>
      <c r="P339" t="str">
        <f>TEXT(Table1[[#This Row],[Transaction_Date]],"mmm")</f>
        <v>Nov</v>
      </c>
      <c r="Q339" s="11">
        <v>45965</v>
      </c>
      <c r="R339" s="8" t="s">
        <v>926</v>
      </c>
      <c r="S339" s="8" t="s">
        <v>32</v>
      </c>
      <c r="T339" s="9">
        <v>5651.5</v>
      </c>
      <c r="U339" t="s">
        <v>77</v>
      </c>
      <c r="V339" s="8" t="s">
        <v>62</v>
      </c>
      <c r="W339"/>
      <c r="X339"/>
    </row>
    <row r="340" spans="1:24" x14ac:dyDescent="0.3">
      <c r="A340" t="s">
        <v>927</v>
      </c>
      <c r="B340" t="s">
        <v>240</v>
      </c>
      <c r="C340">
        <v>35</v>
      </c>
      <c r="D340" t="s">
        <v>97</v>
      </c>
      <c r="E340" t="s">
        <v>98</v>
      </c>
      <c r="F340" t="s">
        <v>97</v>
      </c>
      <c r="G340" t="s">
        <v>39</v>
      </c>
      <c r="H340" s="8" t="s">
        <v>27</v>
      </c>
      <c r="I340" s="9">
        <v>94894.97</v>
      </c>
      <c r="J340" s="9">
        <v>14229.68</v>
      </c>
      <c r="K340" s="8" t="s">
        <v>28</v>
      </c>
      <c r="L340" s="10">
        <v>46297.39</v>
      </c>
      <c r="M340" s="8" t="s">
        <v>42</v>
      </c>
      <c r="N340" s="9">
        <v>0</v>
      </c>
      <c r="O340" s="8" t="s">
        <v>30</v>
      </c>
      <c r="P340" t="str">
        <f>TEXT(Table1[[#This Row],[Transaction_Date]],"mmm")</f>
        <v>Jun</v>
      </c>
      <c r="Q340" s="11">
        <v>45836</v>
      </c>
      <c r="R340" s="8" t="s">
        <v>928</v>
      </c>
      <c r="S340" s="8" t="s">
        <v>70</v>
      </c>
      <c r="T340" s="9">
        <v>10706.69</v>
      </c>
      <c r="U340" t="s">
        <v>77</v>
      </c>
      <c r="V340" s="8" t="s">
        <v>46</v>
      </c>
      <c r="W340"/>
      <c r="X340"/>
    </row>
    <row r="341" spans="1:24" x14ac:dyDescent="0.3">
      <c r="A341" t="s">
        <v>929</v>
      </c>
      <c r="B341" t="s">
        <v>231</v>
      </c>
      <c r="C341">
        <v>45</v>
      </c>
      <c r="D341" t="s">
        <v>49</v>
      </c>
      <c r="E341" t="s">
        <v>50</v>
      </c>
      <c r="F341" t="s">
        <v>49</v>
      </c>
      <c r="G341" t="s">
        <v>39</v>
      </c>
      <c r="H341" s="8" t="s">
        <v>40</v>
      </c>
      <c r="I341" s="9">
        <v>53611.29</v>
      </c>
      <c r="J341" s="9">
        <v>17443.11</v>
      </c>
      <c r="K341" s="8" t="s">
        <v>41</v>
      </c>
      <c r="L341" s="10">
        <v>80567.38</v>
      </c>
      <c r="M341" s="8" t="s">
        <v>29</v>
      </c>
      <c r="N341" s="9">
        <v>48473.919999999998</v>
      </c>
      <c r="O341" s="8" t="s">
        <v>30</v>
      </c>
      <c r="P341" t="str">
        <f>TEXT(Table1[[#This Row],[Transaction_Date]],"mmm")</f>
        <v>Sep</v>
      </c>
      <c r="Q341" s="11">
        <v>45923</v>
      </c>
      <c r="R341" s="8" t="s">
        <v>930</v>
      </c>
      <c r="S341" s="8" t="s">
        <v>70</v>
      </c>
      <c r="T341" s="9">
        <v>3879.85</v>
      </c>
      <c r="U341" t="s">
        <v>33</v>
      </c>
      <c r="V341" s="8" t="s">
        <v>62</v>
      </c>
      <c r="W341"/>
      <c r="X341"/>
    </row>
    <row r="342" spans="1:24" hidden="1" x14ac:dyDescent="0.3">
      <c r="A342" t="s">
        <v>931</v>
      </c>
      <c r="B342" t="s">
        <v>108</v>
      </c>
      <c r="C342">
        <v>46</v>
      </c>
      <c r="D342" t="s">
        <v>49</v>
      </c>
      <c r="E342" t="s">
        <v>50</v>
      </c>
      <c r="F342" t="s">
        <v>49</v>
      </c>
      <c r="G342" t="s">
        <v>26</v>
      </c>
      <c r="H342" s="8" t="s">
        <v>67</v>
      </c>
      <c r="I342" s="9">
        <v>15138.16</v>
      </c>
      <c r="J342" s="9">
        <v>28170.3</v>
      </c>
      <c r="K342" s="8" t="s">
        <v>52</v>
      </c>
      <c r="L342" s="10">
        <v>87985.24</v>
      </c>
      <c r="M342" s="8" t="s">
        <v>29</v>
      </c>
      <c r="N342" s="9">
        <v>38999.160000000003</v>
      </c>
      <c r="O342" s="8" t="s">
        <v>228</v>
      </c>
      <c r="P342" t="str">
        <f>TEXT(Table1[[#This Row],[Transaction_Date]],"mmm")</f>
        <v>Jan</v>
      </c>
      <c r="Q342" s="11">
        <v>45676</v>
      </c>
      <c r="R342" s="8" t="s">
        <v>932</v>
      </c>
      <c r="S342" s="8" t="s">
        <v>44</v>
      </c>
      <c r="T342" s="9">
        <v>1213</v>
      </c>
      <c r="U342" t="s">
        <v>61</v>
      </c>
      <c r="V342" s="8" t="s">
        <v>34</v>
      </c>
      <c r="W342"/>
      <c r="X342"/>
    </row>
    <row r="343" spans="1:24" x14ac:dyDescent="0.3">
      <c r="A343" t="s">
        <v>933</v>
      </c>
      <c r="B343" t="s">
        <v>934</v>
      </c>
      <c r="C343">
        <v>39</v>
      </c>
      <c r="D343" t="s">
        <v>49</v>
      </c>
      <c r="E343" t="s">
        <v>50</v>
      </c>
      <c r="F343" t="s">
        <v>49</v>
      </c>
      <c r="G343" t="s">
        <v>39</v>
      </c>
      <c r="H343" s="8" t="s">
        <v>40</v>
      </c>
      <c r="I343" s="9">
        <v>64461.45</v>
      </c>
      <c r="J343" s="9">
        <v>21423.67</v>
      </c>
      <c r="K343" s="8" t="s">
        <v>59</v>
      </c>
      <c r="L343" s="10">
        <v>113007.55</v>
      </c>
      <c r="M343" s="8" t="s">
        <v>29</v>
      </c>
      <c r="N343" s="9">
        <v>91311.53</v>
      </c>
      <c r="O343" s="8" t="s">
        <v>228</v>
      </c>
      <c r="P343" t="str">
        <f>TEXT(Table1[[#This Row],[Transaction_Date]],"mmm")</f>
        <v>Apr</v>
      </c>
      <c r="Q343" s="11">
        <v>45775</v>
      </c>
      <c r="R343" s="8" t="s">
        <v>935</v>
      </c>
      <c r="S343" s="8" t="s">
        <v>54</v>
      </c>
      <c r="T343" s="9">
        <v>4831.83</v>
      </c>
      <c r="U343" t="s">
        <v>71</v>
      </c>
      <c r="V343" s="8" t="s">
        <v>62</v>
      </c>
      <c r="W343"/>
      <c r="X343"/>
    </row>
    <row r="344" spans="1:24" hidden="1" x14ac:dyDescent="0.3">
      <c r="A344" t="s">
        <v>936</v>
      </c>
      <c r="B344" t="s">
        <v>755</v>
      </c>
      <c r="C344">
        <v>60</v>
      </c>
      <c r="D344" t="s">
        <v>65</v>
      </c>
      <c r="E344" t="s">
        <v>66</v>
      </c>
      <c r="F344" t="s">
        <v>65</v>
      </c>
      <c r="G344" t="s">
        <v>51</v>
      </c>
      <c r="H344" s="8" t="s">
        <v>27</v>
      </c>
      <c r="I344" s="9">
        <v>64844.02</v>
      </c>
      <c r="J344" s="9">
        <v>16557.38</v>
      </c>
      <c r="K344" s="8" t="s">
        <v>74</v>
      </c>
      <c r="L344" s="10">
        <v>0</v>
      </c>
      <c r="M344" s="8" t="s">
        <v>75</v>
      </c>
      <c r="N344" s="9">
        <v>0</v>
      </c>
      <c r="O344" s="8" t="s">
        <v>30</v>
      </c>
      <c r="P344" t="str">
        <f>TEXT(Table1[[#This Row],[Transaction_Date]],"mmm")</f>
        <v>Jul</v>
      </c>
      <c r="Q344" s="11">
        <v>45854</v>
      </c>
      <c r="R344" s="8" t="s">
        <v>937</v>
      </c>
      <c r="S344" s="8" t="s">
        <v>54</v>
      </c>
      <c r="T344" s="9">
        <v>3067.36</v>
      </c>
      <c r="U344" t="s">
        <v>61</v>
      </c>
      <c r="V344" s="8" t="s">
        <v>62</v>
      </c>
      <c r="W344"/>
      <c r="X344"/>
    </row>
    <row r="345" spans="1:24" x14ac:dyDescent="0.3">
      <c r="A345" t="s">
        <v>938</v>
      </c>
      <c r="B345" t="s">
        <v>548</v>
      </c>
      <c r="C345">
        <v>31</v>
      </c>
      <c r="D345" t="s">
        <v>37</v>
      </c>
      <c r="E345" t="s">
        <v>38</v>
      </c>
      <c r="F345" t="s">
        <v>37</v>
      </c>
      <c r="G345" t="s">
        <v>39</v>
      </c>
      <c r="H345" s="8" t="s">
        <v>40</v>
      </c>
      <c r="I345" s="9">
        <v>83305.77</v>
      </c>
      <c r="J345" s="9">
        <v>19175.57</v>
      </c>
      <c r="K345" s="8" t="s">
        <v>41</v>
      </c>
      <c r="L345" s="10">
        <v>37892.620000000003</v>
      </c>
      <c r="M345" s="8" t="s">
        <v>29</v>
      </c>
      <c r="N345" s="9">
        <v>18506.259999999998</v>
      </c>
      <c r="O345" s="8" t="s">
        <v>30</v>
      </c>
      <c r="P345" t="str">
        <f>TEXT(Table1[[#This Row],[Transaction_Date]],"mmm")</f>
        <v>Sep</v>
      </c>
      <c r="Q345" s="11">
        <v>45909</v>
      </c>
      <c r="R345" s="8" t="s">
        <v>939</v>
      </c>
      <c r="S345" s="8" t="s">
        <v>54</v>
      </c>
      <c r="T345" s="9">
        <v>3921.01</v>
      </c>
      <c r="U345" t="s">
        <v>45</v>
      </c>
      <c r="V345" s="8" t="s">
        <v>62</v>
      </c>
      <c r="W345"/>
      <c r="X345"/>
    </row>
    <row r="346" spans="1:24" hidden="1" x14ac:dyDescent="0.3">
      <c r="A346" t="s">
        <v>940</v>
      </c>
      <c r="B346" t="s">
        <v>401</v>
      </c>
      <c r="C346">
        <v>35</v>
      </c>
      <c r="D346" t="s">
        <v>65</v>
      </c>
      <c r="E346" t="s">
        <v>66</v>
      </c>
      <c r="F346" t="s">
        <v>65</v>
      </c>
      <c r="G346" t="s">
        <v>80</v>
      </c>
      <c r="H346" s="8" t="s">
        <v>40</v>
      </c>
      <c r="I346" s="9">
        <v>55711.27</v>
      </c>
      <c r="J346" s="9">
        <v>6163.19</v>
      </c>
      <c r="K346" s="8" t="s">
        <v>68</v>
      </c>
      <c r="L346" s="10">
        <v>25000</v>
      </c>
      <c r="M346" s="8" t="s">
        <v>42</v>
      </c>
      <c r="N346" s="9">
        <v>0</v>
      </c>
      <c r="O346" s="8" t="s">
        <v>30</v>
      </c>
      <c r="P346" t="str">
        <f>TEXT(Table1[[#This Row],[Transaction_Date]],"mmm")</f>
        <v>Jan</v>
      </c>
      <c r="Q346" s="11">
        <v>45684</v>
      </c>
      <c r="R346" s="8" t="s">
        <v>941</v>
      </c>
      <c r="S346" s="8" t="s">
        <v>70</v>
      </c>
      <c r="T346" s="9">
        <v>5385.23</v>
      </c>
      <c r="U346" t="s">
        <v>61</v>
      </c>
      <c r="V346" s="8" t="s">
        <v>62</v>
      </c>
      <c r="W346"/>
      <c r="X346"/>
    </row>
    <row r="347" spans="1:24" x14ac:dyDescent="0.3">
      <c r="A347" t="s">
        <v>942</v>
      </c>
      <c r="B347" t="s">
        <v>36</v>
      </c>
      <c r="C347">
        <v>40</v>
      </c>
      <c r="D347" t="s">
        <v>92</v>
      </c>
      <c r="E347" t="s">
        <v>93</v>
      </c>
      <c r="F347" t="s">
        <v>92</v>
      </c>
      <c r="G347" t="s">
        <v>39</v>
      </c>
      <c r="H347" s="8" t="s">
        <v>27</v>
      </c>
      <c r="I347" s="9">
        <v>66817.53</v>
      </c>
      <c r="J347" s="9">
        <v>55734.51</v>
      </c>
      <c r="K347" s="8" t="s">
        <v>59</v>
      </c>
      <c r="L347" s="10">
        <v>25000</v>
      </c>
      <c r="M347" s="8" t="s">
        <v>29</v>
      </c>
      <c r="N347" s="9">
        <v>7332.91</v>
      </c>
      <c r="O347" s="8" t="s">
        <v>30</v>
      </c>
      <c r="P347" t="str">
        <f>TEXT(Table1[[#This Row],[Transaction_Date]],"mmm")</f>
        <v>Mar</v>
      </c>
      <c r="Q347" s="11">
        <v>45739</v>
      </c>
      <c r="R347" s="8" t="s">
        <v>943</v>
      </c>
      <c r="S347" s="8" t="s">
        <v>54</v>
      </c>
      <c r="T347" s="9">
        <v>8919.43</v>
      </c>
      <c r="U347" t="s">
        <v>71</v>
      </c>
      <c r="V347" s="8" t="s">
        <v>62</v>
      </c>
      <c r="W347"/>
      <c r="X347"/>
    </row>
    <row r="348" spans="1:24" x14ac:dyDescent="0.3">
      <c r="A348" t="s">
        <v>944</v>
      </c>
      <c r="B348" t="s">
        <v>945</v>
      </c>
      <c r="C348">
        <v>34</v>
      </c>
      <c r="D348" t="s">
        <v>24</v>
      </c>
      <c r="E348" t="s">
        <v>25</v>
      </c>
      <c r="F348" t="s">
        <v>24</v>
      </c>
      <c r="G348" t="s">
        <v>39</v>
      </c>
      <c r="H348" s="8" t="s">
        <v>40</v>
      </c>
      <c r="I348" s="9">
        <v>43477.91</v>
      </c>
      <c r="J348" s="9">
        <v>21901.07</v>
      </c>
      <c r="K348" s="8" t="s">
        <v>68</v>
      </c>
      <c r="L348" s="10">
        <v>25000</v>
      </c>
      <c r="M348" s="8" t="s">
        <v>29</v>
      </c>
      <c r="N348" s="9">
        <v>11013.75</v>
      </c>
      <c r="O348" s="8" t="s">
        <v>30</v>
      </c>
      <c r="P348" t="str">
        <f>TEXT(Table1[[#This Row],[Transaction_Date]],"mmm")</f>
        <v>Dec</v>
      </c>
      <c r="Q348" s="11">
        <v>46015</v>
      </c>
      <c r="R348" s="8" t="s">
        <v>946</v>
      </c>
      <c r="S348" s="8" t="s">
        <v>32</v>
      </c>
      <c r="T348" s="9">
        <v>708.81</v>
      </c>
      <c r="U348" t="s">
        <v>33</v>
      </c>
      <c r="V348" s="8" t="s">
        <v>62</v>
      </c>
      <c r="W348"/>
      <c r="X348"/>
    </row>
    <row r="349" spans="1:24" x14ac:dyDescent="0.3">
      <c r="A349" t="s">
        <v>947</v>
      </c>
      <c r="B349" t="s">
        <v>545</v>
      </c>
      <c r="C349">
        <v>64</v>
      </c>
      <c r="D349" t="s">
        <v>84</v>
      </c>
      <c r="E349" t="s">
        <v>85</v>
      </c>
      <c r="F349" t="s">
        <v>84</v>
      </c>
      <c r="G349" t="s">
        <v>39</v>
      </c>
      <c r="H349" s="8" t="s">
        <v>27</v>
      </c>
      <c r="I349" s="9">
        <v>37859.96</v>
      </c>
      <c r="J349" s="9">
        <v>32278.34</v>
      </c>
      <c r="K349" s="8" t="s">
        <v>74</v>
      </c>
      <c r="L349" s="10">
        <v>0</v>
      </c>
      <c r="M349" s="8" t="s">
        <v>75</v>
      </c>
      <c r="N349" s="9">
        <v>0</v>
      </c>
      <c r="O349" s="8" t="s">
        <v>30</v>
      </c>
      <c r="P349" t="str">
        <f>TEXT(Table1[[#This Row],[Transaction_Date]],"mmm")</f>
        <v>Apr</v>
      </c>
      <c r="Q349" s="11">
        <v>45776</v>
      </c>
      <c r="R349" s="8" t="s">
        <v>948</v>
      </c>
      <c r="S349" s="8" t="s">
        <v>54</v>
      </c>
      <c r="T349" s="9">
        <v>5113.8500000000004</v>
      </c>
      <c r="U349" t="s">
        <v>61</v>
      </c>
      <c r="V349" s="8" t="s">
        <v>62</v>
      </c>
      <c r="W349"/>
      <c r="X349"/>
    </row>
    <row r="350" spans="1:24" hidden="1" x14ac:dyDescent="0.3">
      <c r="A350" t="s">
        <v>949</v>
      </c>
      <c r="B350" t="s">
        <v>950</v>
      </c>
      <c r="C350">
        <v>29</v>
      </c>
      <c r="D350" t="s">
        <v>475</v>
      </c>
      <c r="E350" t="s">
        <v>66</v>
      </c>
      <c r="F350" t="s">
        <v>65</v>
      </c>
      <c r="G350" t="s">
        <v>80</v>
      </c>
      <c r="H350" s="8" t="s">
        <v>27</v>
      </c>
      <c r="I350" s="9">
        <v>45266.69</v>
      </c>
      <c r="J350" s="9">
        <v>7174.73</v>
      </c>
      <c r="K350" s="8" t="s">
        <v>28</v>
      </c>
      <c r="L350" s="10">
        <v>46356.61</v>
      </c>
      <c r="M350" s="8" t="s">
        <v>42</v>
      </c>
      <c r="N350" s="9">
        <v>0</v>
      </c>
      <c r="O350" s="8" t="s">
        <v>30</v>
      </c>
      <c r="P350" t="str">
        <f>TEXT(Table1[[#This Row],[Transaction_Date]],"mmm")</f>
        <v>Mar</v>
      </c>
      <c r="Q350" s="11">
        <v>45724</v>
      </c>
      <c r="R350" s="8" t="s">
        <v>951</v>
      </c>
      <c r="S350" s="8" t="s">
        <v>54</v>
      </c>
      <c r="T350" s="9">
        <v>914.17</v>
      </c>
      <c r="U350" t="s">
        <v>33</v>
      </c>
      <c r="V350" s="8" t="s">
        <v>62</v>
      </c>
      <c r="W350"/>
      <c r="X350"/>
    </row>
    <row r="351" spans="1:24" hidden="1" x14ac:dyDescent="0.3">
      <c r="A351" t="s">
        <v>952</v>
      </c>
      <c r="B351" t="s">
        <v>478</v>
      </c>
      <c r="C351">
        <v>36</v>
      </c>
      <c r="D351" t="s">
        <v>49</v>
      </c>
      <c r="E351" t="s">
        <v>50</v>
      </c>
      <c r="F351" t="s">
        <v>49</v>
      </c>
      <c r="G351" t="s">
        <v>80</v>
      </c>
      <c r="H351" s="8" t="s">
        <v>40</v>
      </c>
      <c r="I351" s="9">
        <v>39193.43</v>
      </c>
      <c r="J351" s="9">
        <v>91110.37</v>
      </c>
      <c r="K351" s="8" t="s">
        <v>68</v>
      </c>
      <c r="L351" s="10">
        <v>38601.629999999997</v>
      </c>
      <c r="M351" s="8" t="s">
        <v>29</v>
      </c>
      <c r="N351" s="9">
        <v>35989.94</v>
      </c>
      <c r="O351" s="8" t="s">
        <v>228</v>
      </c>
      <c r="P351" t="str">
        <f>TEXT(Table1[[#This Row],[Transaction_Date]],"mmm")</f>
        <v>Sep</v>
      </c>
      <c r="Q351" s="11">
        <v>45916</v>
      </c>
      <c r="R351" s="8" t="s">
        <v>953</v>
      </c>
      <c r="S351" s="8" t="s">
        <v>44</v>
      </c>
      <c r="T351" s="9">
        <v>776.11</v>
      </c>
      <c r="U351" t="s">
        <v>106</v>
      </c>
      <c r="V351" s="8" t="s">
        <v>62</v>
      </c>
      <c r="W351"/>
      <c r="X351"/>
    </row>
    <row r="352" spans="1:24" hidden="1" x14ac:dyDescent="0.3">
      <c r="A352" t="s">
        <v>954</v>
      </c>
      <c r="B352" t="s">
        <v>173</v>
      </c>
      <c r="C352">
        <v>38</v>
      </c>
      <c r="D352" t="s">
        <v>57</v>
      </c>
      <c r="E352" t="s">
        <v>58</v>
      </c>
      <c r="F352" t="s">
        <v>57</v>
      </c>
      <c r="G352" t="s">
        <v>80</v>
      </c>
      <c r="H352" s="8" t="s">
        <v>27</v>
      </c>
      <c r="I352" s="9">
        <v>30943.29</v>
      </c>
      <c r="J352" s="9">
        <v>6023.56</v>
      </c>
      <c r="K352" s="8" t="s">
        <v>59</v>
      </c>
      <c r="L352" s="10">
        <v>86997.93</v>
      </c>
      <c r="M352" s="8" t="s">
        <v>29</v>
      </c>
      <c r="N352" s="9">
        <v>58873.59</v>
      </c>
      <c r="O352" s="8" t="s">
        <v>228</v>
      </c>
      <c r="P352" t="str">
        <f>TEXT(Table1[[#This Row],[Transaction_Date]],"mmm")</f>
        <v>Mar</v>
      </c>
      <c r="Q352" s="11">
        <v>45734</v>
      </c>
      <c r="R352" s="8" t="s">
        <v>955</v>
      </c>
      <c r="S352" s="8" t="s">
        <v>44</v>
      </c>
      <c r="T352" s="9">
        <v>9089.93</v>
      </c>
      <c r="U352" t="s">
        <v>45</v>
      </c>
      <c r="V352" s="8" t="s">
        <v>62</v>
      </c>
      <c r="W352"/>
      <c r="X352"/>
    </row>
    <row r="353" spans="1:24" hidden="1" x14ac:dyDescent="0.3">
      <c r="A353" t="s">
        <v>956</v>
      </c>
      <c r="B353" t="s">
        <v>957</v>
      </c>
      <c r="C353">
        <v>25</v>
      </c>
      <c r="D353" t="s">
        <v>65</v>
      </c>
      <c r="E353" t="s">
        <v>66</v>
      </c>
      <c r="F353" t="s">
        <v>65</v>
      </c>
      <c r="G353" t="s">
        <v>51</v>
      </c>
      <c r="H353" s="8" t="s">
        <v>27</v>
      </c>
      <c r="I353" s="9">
        <v>90290.01</v>
      </c>
      <c r="J353" s="9">
        <v>57938.46</v>
      </c>
      <c r="K353" s="8" t="s">
        <v>74</v>
      </c>
      <c r="L353" s="10">
        <v>0</v>
      </c>
      <c r="M353" s="8" t="s">
        <v>75</v>
      </c>
      <c r="N353" s="9">
        <v>0</v>
      </c>
      <c r="O353" s="8" t="s">
        <v>30</v>
      </c>
      <c r="P353" t="str">
        <f>TEXT(Table1[[#This Row],[Transaction_Date]],"mmm")</f>
        <v>Apr</v>
      </c>
      <c r="Q353" s="11">
        <v>45777</v>
      </c>
      <c r="R353" s="8" t="s">
        <v>958</v>
      </c>
      <c r="S353" s="8" t="s">
        <v>44</v>
      </c>
      <c r="T353" s="9">
        <v>724.15</v>
      </c>
      <c r="U353" t="s">
        <v>45</v>
      </c>
      <c r="V353" s="8" t="s">
        <v>46</v>
      </c>
      <c r="W353"/>
      <c r="X353"/>
    </row>
    <row r="354" spans="1:24" hidden="1" x14ac:dyDescent="0.3">
      <c r="A354" t="s">
        <v>959</v>
      </c>
      <c r="B354" t="s">
        <v>176</v>
      </c>
      <c r="C354">
        <v>18</v>
      </c>
      <c r="D354" t="s">
        <v>65</v>
      </c>
      <c r="E354" t="s">
        <v>66</v>
      </c>
      <c r="F354" t="s">
        <v>65</v>
      </c>
      <c r="G354" t="s">
        <v>80</v>
      </c>
      <c r="H354" s="8" t="s">
        <v>40</v>
      </c>
      <c r="I354" s="9">
        <v>105121.35</v>
      </c>
      <c r="J354" s="9">
        <v>31552.47</v>
      </c>
      <c r="K354" s="8" t="s">
        <v>52</v>
      </c>
      <c r="L354" s="10">
        <v>25000</v>
      </c>
      <c r="M354" s="8" t="s">
        <v>29</v>
      </c>
      <c r="N354" s="9">
        <v>14452.49</v>
      </c>
      <c r="O354" s="8" t="s">
        <v>30</v>
      </c>
      <c r="P354" t="str">
        <f>TEXT(Table1[[#This Row],[Transaction_Date]],"mmm")</f>
        <v>Jul</v>
      </c>
      <c r="Q354" s="11">
        <v>45856</v>
      </c>
      <c r="R354" s="8" t="s">
        <v>960</v>
      </c>
      <c r="S354" s="8" t="s">
        <v>44</v>
      </c>
      <c r="T354" s="9">
        <v>2469.52</v>
      </c>
      <c r="U354" t="s">
        <v>106</v>
      </c>
      <c r="V354" s="8" t="s">
        <v>46</v>
      </c>
      <c r="W354"/>
      <c r="X354"/>
    </row>
    <row r="355" spans="1:24" hidden="1" x14ac:dyDescent="0.3">
      <c r="A355" t="s">
        <v>961</v>
      </c>
      <c r="B355" t="s">
        <v>962</v>
      </c>
      <c r="C355">
        <v>49</v>
      </c>
      <c r="D355" t="s">
        <v>49</v>
      </c>
      <c r="E355" t="s">
        <v>50</v>
      </c>
      <c r="F355" t="s">
        <v>49</v>
      </c>
      <c r="G355" t="s">
        <v>51</v>
      </c>
      <c r="H355" s="8" t="s">
        <v>40</v>
      </c>
      <c r="I355" s="9">
        <v>77772.84</v>
      </c>
      <c r="J355" s="9">
        <v>7344.81</v>
      </c>
      <c r="K355" s="8" t="s">
        <v>59</v>
      </c>
      <c r="L355" s="10">
        <v>83631.33</v>
      </c>
      <c r="M355" s="8" t="s">
        <v>29</v>
      </c>
      <c r="N355" s="9">
        <v>57271.199999999997</v>
      </c>
      <c r="O355" s="8" t="s">
        <v>30</v>
      </c>
      <c r="P355" t="str">
        <f>TEXT(Table1[[#This Row],[Transaction_Date]],"mmm")</f>
        <v>Aug</v>
      </c>
      <c r="Q355" s="11">
        <v>45896</v>
      </c>
      <c r="R355" s="8" t="s">
        <v>963</v>
      </c>
      <c r="S355" s="8" t="s">
        <v>54</v>
      </c>
      <c r="T355" s="9">
        <v>4163</v>
      </c>
      <c r="U355" t="s">
        <v>45</v>
      </c>
      <c r="V355" s="8" t="s">
        <v>62</v>
      </c>
      <c r="W355"/>
      <c r="X355"/>
    </row>
    <row r="356" spans="1:24" x14ac:dyDescent="0.3">
      <c r="A356" t="s">
        <v>964</v>
      </c>
      <c r="B356" t="s">
        <v>376</v>
      </c>
      <c r="C356">
        <v>51</v>
      </c>
      <c r="D356" t="s">
        <v>57</v>
      </c>
      <c r="E356" t="s">
        <v>58</v>
      </c>
      <c r="F356" t="s">
        <v>57</v>
      </c>
      <c r="G356" t="s">
        <v>39</v>
      </c>
      <c r="H356" s="8" t="s">
        <v>27</v>
      </c>
      <c r="I356" s="9">
        <v>22782.27</v>
      </c>
      <c r="J356" s="9">
        <v>288980.08</v>
      </c>
      <c r="K356" s="8" t="s">
        <v>41</v>
      </c>
      <c r="L356" s="10">
        <v>25000</v>
      </c>
      <c r="M356" s="8" t="s">
        <v>42</v>
      </c>
      <c r="N356" s="9">
        <v>0</v>
      </c>
      <c r="O356" s="8" t="s">
        <v>30</v>
      </c>
      <c r="P356" t="str">
        <f>TEXT(Table1[[#This Row],[Transaction_Date]],"mmm")</f>
        <v>Apr</v>
      </c>
      <c r="Q356" s="11">
        <v>45749</v>
      </c>
      <c r="R356" s="8" t="s">
        <v>965</v>
      </c>
      <c r="S356" s="8" t="s">
        <v>32</v>
      </c>
      <c r="T356" s="9">
        <v>4978.46</v>
      </c>
      <c r="U356" t="s">
        <v>61</v>
      </c>
      <c r="V356" s="8" t="s">
        <v>62</v>
      </c>
      <c r="W356"/>
      <c r="X356"/>
    </row>
    <row r="357" spans="1:24" x14ac:dyDescent="0.3">
      <c r="A357" t="s">
        <v>966</v>
      </c>
      <c r="B357" t="s">
        <v>483</v>
      </c>
      <c r="C357">
        <v>49</v>
      </c>
      <c r="D357" t="s">
        <v>24</v>
      </c>
      <c r="E357" t="s">
        <v>25</v>
      </c>
      <c r="F357" t="s">
        <v>24</v>
      </c>
      <c r="G357" t="s">
        <v>39</v>
      </c>
      <c r="H357" s="8" t="s">
        <v>40</v>
      </c>
      <c r="I357" s="9">
        <v>67669.899999999994</v>
      </c>
      <c r="J357" s="9">
        <v>7274.87</v>
      </c>
      <c r="K357" s="8" t="s">
        <v>68</v>
      </c>
      <c r="L357" s="10">
        <v>53526.19</v>
      </c>
      <c r="M357" s="8" t="s">
        <v>29</v>
      </c>
      <c r="N357" s="9">
        <v>44224.959999999999</v>
      </c>
      <c r="O357" s="8" t="s">
        <v>30</v>
      </c>
      <c r="P357" t="str">
        <f>TEXT(Table1[[#This Row],[Transaction_Date]],"mmm")</f>
        <v>Dec</v>
      </c>
      <c r="Q357" s="11">
        <v>46008</v>
      </c>
      <c r="R357" s="8" t="s">
        <v>967</v>
      </c>
      <c r="S357" s="8" t="s">
        <v>70</v>
      </c>
      <c r="T357" s="9">
        <v>2348.96</v>
      </c>
      <c r="U357" t="s">
        <v>61</v>
      </c>
      <c r="V357" s="8" t="s">
        <v>62</v>
      </c>
      <c r="W357"/>
      <c r="X357"/>
    </row>
    <row r="358" spans="1:24" hidden="1" x14ac:dyDescent="0.3">
      <c r="A358" t="s">
        <v>968</v>
      </c>
      <c r="B358" t="s">
        <v>969</v>
      </c>
      <c r="C358">
        <v>23</v>
      </c>
      <c r="D358" t="s">
        <v>37</v>
      </c>
      <c r="E358" t="s">
        <v>38</v>
      </c>
      <c r="F358" t="s">
        <v>37</v>
      </c>
      <c r="G358" t="s">
        <v>51</v>
      </c>
      <c r="H358" s="8" t="s">
        <v>51</v>
      </c>
      <c r="I358" s="9">
        <v>78582.460000000006</v>
      </c>
      <c r="J358" s="9">
        <v>35948.559999999998</v>
      </c>
      <c r="K358" s="8" t="s">
        <v>74</v>
      </c>
      <c r="L358" s="10">
        <v>0</v>
      </c>
      <c r="M358" s="8" t="s">
        <v>75</v>
      </c>
      <c r="N358" s="9">
        <v>0</v>
      </c>
      <c r="O358" s="8" t="s">
        <v>30</v>
      </c>
      <c r="P358" t="str">
        <f>TEXT(Table1[[#This Row],[Transaction_Date]],"mmm")</f>
        <v>Jul</v>
      </c>
      <c r="Q358" s="11">
        <v>45850</v>
      </c>
      <c r="R358" s="8" t="s">
        <v>970</v>
      </c>
      <c r="S358" s="8" t="s">
        <v>70</v>
      </c>
      <c r="T358" s="9">
        <v>570.45000000000005</v>
      </c>
      <c r="U358" t="s">
        <v>45</v>
      </c>
      <c r="V358" s="8" t="s">
        <v>34</v>
      </c>
      <c r="W358"/>
      <c r="X358"/>
    </row>
    <row r="359" spans="1:24" x14ac:dyDescent="0.3">
      <c r="A359" t="s">
        <v>971</v>
      </c>
      <c r="B359" t="s">
        <v>237</v>
      </c>
      <c r="C359">
        <v>41</v>
      </c>
      <c r="D359" t="s">
        <v>92</v>
      </c>
      <c r="E359" t="s">
        <v>93</v>
      </c>
      <c r="F359" t="s">
        <v>92</v>
      </c>
      <c r="G359" t="s">
        <v>39</v>
      </c>
      <c r="H359" s="8" t="s">
        <v>51</v>
      </c>
      <c r="I359" s="9">
        <v>95663.71</v>
      </c>
      <c r="J359" s="9">
        <v>18063.48</v>
      </c>
      <c r="K359" s="8" t="s">
        <v>74</v>
      </c>
      <c r="L359" s="10">
        <v>0</v>
      </c>
      <c r="M359" s="8" t="s">
        <v>75</v>
      </c>
      <c r="N359" s="9">
        <v>0</v>
      </c>
      <c r="O359" s="8" t="s">
        <v>30</v>
      </c>
      <c r="P359" t="str">
        <f>TEXT(Table1[[#This Row],[Transaction_Date]],"mmm")</f>
        <v>Mar</v>
      </c>
      <c r="Q359" s="11">
        <v>45726</v>
      </c>
      <c r="R359" s="8" t="s">
        <v>972</v>
      </c>
      <c r="S359" s="8" t="s">
        <v>32</v>
      </c>
      <c r="T359" s="9">
        <v>9166.51</v>
      </c>
      <c r="U359" t="s">
        <v>71</v>
      </c>
      <c r="V359" s="8" t="s">
        <v>62</v>
      </c>
      <c r="W359"/>
      <c r="X359"/>
    </row>
    <row r="360" spans="1:24" x14ac:dyDescent="0.3">
      <c r="A360" t="s">
        <v>973</v>
      </c>
      <c r="B360" t="s">
        <v>173</v>
      </c>
      <c r="C360">
        <v>35</v>
      </c>
      <c r="D360" t="s">
        <v>57</v>
      </c>
      <c r="E360" t="s">
        <v>58</v>
      </c>
      <c r="F360" t="s">
        <v>57</v>
      </c>
      <c r="G360" t="s">
        <v>39</v>
      </c>
      <c r="H360" s="8" t="s">
        <v>51</v>
      </c>
      <c r="I360" s="9">
        <v>71021.19</v>
      </c>
      <c r="J360" s="9">
        <v>38514.050000000003</v>
      </c>
      <c r="K360" s="8" t="s">
        <v>74</v>
      </c>
      <c r="L360" s="10">
        <v>0</v>
      </c>
      <c r="M360" s="8" t="s">
        <v>75</v>
      </c>
      <c r="N360" s="9">
        <v>0</v>
      </c>
      <c r="O360" s="8" t="s">
        <v>30</v>
      </c>
      <c r="P360" t="str">
        <f>TEXT(Table1[[#This Row],[Transaction_Date]],"mmm")</f>
        <v>Dec</v>
      </c>
      <c r="Q360" s="11">
        <v>46003</v>
      </c>
      <c r="R360" s="8" t="s">
        <v>974</v>
      </c>
      <c r="S360" s="8" t="s">
        <v>70</v>
      </c>
      <c r="T360" s="9">
        <v>1211.25</v>
      </c>
      <c r="U360" t="s">
        <v>77</v>
      </c>
      <c r="V360" s="8" t="s">
        <v>46</v>
      </c>
      <c r="W360"/>
      <c r="X360"/>
    </row>
    <row r="361" spans="1:24" hidden="1" x14ac:dyDescent="0.3">
      <c r="A361" t="s">
        <v>975</v>
      </c>
      <c r="B361" t="s">
        <v>439</v>
      </c>
      <c r="C361">
        <v>24</v>
      </c>
      <c r="D361" t="s">
        <v>65</v>
      </c>
      <c r="E361" t="s">
        <v>66</v>
      </c>
      <c r="F361" t="s">
        <v>65</v>
      </c>
      <c r="G361" t="s">
        <v>80</v>
      </c>
      <c r="H361" s="8" t="s">
        <v>40</v>
      </c>
      <c r="I361" s="9">
        <v>53301.22</v>
      </c>
      <c r="J361" s="9">
        <v>12808.58</v>
      </c>
      <c r="K361" s="8" t="s">
        <v>28</v>
      </c>
      <c r="L361" s="10">
        <v>126353.13</v>
      </c>
      <c r="M361" s="8" t="s">
        <v>29</v>
      </c>
      <c r="N361" s="9">
        <v>65195.14</v>
      </c>
      <c r="O361" s="8" t="s">
        <v>30</v>
      </c>
      <c r="P361" t="str">
        <f>TEXT(Table1[[#This Row],[Transaction_Date]],"mmm")</f>
        <v>Sep</v>
      </c>
      <c r="Q361" s="11">
        <v>45921</v>
      </c>
      <c r="R361" s="8" t="s">
        <v>976</v>
      </c>
      <c r="S361" s="8" t="s">
        <v>44</v>
      </c>
      <c r="T361" s="9">
        <v>4554.84</v>
      </c>
      <c r="U361" t="s">
        <v>61</v>
      </c>
      <c r="V361" s="8" t="s">
        <v>62</v>
      </c>
      <c r="W361"/>
      <c r="X361"/>
    </row>
    <row r="362" spans="1:24" hidden="1" x14ac:dyDescent="0.3">
      <c r="A362" t="s">
        <v>977</v>
      </c>
      <c r="B362" t="s">
        <v>812</v>
      </c>
      <c r="C362">
        <v>35</v>
      </c>
      <c r="D362" t="s">
        <v>57</v>
      </c>
      <c r="E362" t="s">
        <v>58</v>
      </c>
      <c r="F362" t="s">
        <v>57</v>
      </c>
      <c r="G362" t="s">
        <v>26</v>
      </c>
      <c r="H362" s="8" t="s">
        <v>27</v>
      </c>
      <c r="I362" s="9">
        <v>68128.69</v>
      </c>
      <c r="J362" s="9">
        <v>25626.560000000001</v>
      </c>
      <c r="K362" s="8" t="s">
        <v>28</v>
      </c>
      <c r="L362" s="10">
        <v>25000</v>
      </c>
      <c r="M362" s="8" t="s">
        <v>29</v>
      </c>
      <c r="N362" s="9">
        <v>19187.12</v>
      </c>
      <c r="O362" s="8" t="s">
        <v>30</v>
      </c>
      <c r="P362" t="str">
        <f>TEXT(Table1[[#This Row],[Transaction_Date]],"mmm")</f>
        <v>Mar</v>
      </c>
      <c r="Q362" s="11">
        <v>45737</v>
      </c>
      <c r="R362" s="8" t="s">
        <v>978</v>
      </c>
      <c r="S362" s="8" t="s">
        <v>32</v>
      </c>
      <c r="T362" s="9">
        <v>1403.14</v>
      </c>
      <c r="U362" t="s">
        <v>77</v>
      </c>
      <c r="V362" s="8" t="s">
        <v>46</v>
      </c>
      <c r="W362"/>
      <c r="X362"/>
    </row>
    <row r="363" spans="1:24" x14ac:dyDescent="0.3">
      <c r="A363" t="s">
        <v>979</v>
      </c>
      <c r="B363" t="s">
        <v>907</v>
      </c>
      <c r="C363">
        <v>23</v>
      </c>
      <c r="D363" t="s">
        <v>57</v>
      </c>
      <c r="E363" t="s">
        <v>58</v>
      </c>
      <c r="F363" t="s">
        <v>57</v>
      </c>
      <c r="G363" t="s">
        <v>39</v>
      </c>
      <c r="H363" s="8" t="s">
        <v>40</v>
      </c>
      <c r="I363" s="9">
        <v>65800.14</v>
      </c>
      <c r="J363" s="9">
        <v>23158.48</v>
      </c>
      <c r="K363" s="8" t="s">
        <v>68</v>
      </c>
      <c r="L363" s="10">
        <v>101690.94</v>
      </c>
      <c r="M363" s="8" t="s">
        <v>29</v>
      </c>
      <c r="N363" s="9">
        <v>72729.98</v>
      </c>
      <c r="O363" s="8" t="s">
        <v>228</v>
      </c>
      <c r="P363" t="str">
        <f>TEXT(Table1[[#This Row],[Transaction_Date]],"mmm")</f>
        <v>Feb</v>
      </c>
      <c r="Q363" s="11">
        <v>45699</v>
      </c>
      <c r="R363" s="8" t="s">
        <v>980</v>
      </c>
      <c r="S363" s="8" t="s">
        <v>44</v>
      </c>
      <c r="T363" s="9">
        <v>1627.15</v>
      </c>
      <c r="U363" t="s">
        <v>77</v>
      </c>
      <c r="V363" s="8" t="s">
        <v>62</v>
      </c>
      <c r="W363"/>
      <c r="X363"/>
    </row>
    <row r="364" spans="1:24" hidden="1" x14ac:dyDescent="0.3">
      <c r="A364" t="s">
        <v>981</v>
      </c>
      <c r="B364" t="s">
        <v>36</v>
      </c>
      <c r="C364">
        <v>24</v>
      </c>
      <c r="D364" t="s">
        <v>65</v>
      </c>
      <c r="E364" t="s">
        <v>66</v>
      </c>
      <c r="F364" t="s">
        <v>65</v>
      </c>
      <c r="G364" t="s">
        <v>80</v>
      </c>
      <c r="H364" s="8" t="s">
        <v>40</v>
      </c>
      <c r="I364" s="9">
        <v>78483.17</v>
      </c>
      <c r="J364" s="9">
        <v>35334.629999999997</v>
      </c>
      <c r="K364" s="8" t="s">
        <v>68</v>
      </c>
      <c r="L364" s="10">
        <v>90696.58</v>
      </c>
      <c r="M364" s="8" t="s">
        <v>29</v>
      </c>
      <c r="N364" s="9">
        <v>51962.06</v>
      </c>
      <c r="O364" s="8" t="s">
        <v>228</v>
      </c>
      <c r="P364" t="str">
        <f>TEXT(Table1[[#This Row],[Transaction_Date]],"mmm")</f>
        <v>Jul</v>
      </c>
      <c r="Q364" s="11">
        <v>45869</v>
      </c>
      <c r="R364" s="8" t="s">
        <v>982</v>
      </c>
      <c r="S364" s="8" t="s">
        <v>70</v>
      </c>
      <c r="T364" s="9">
        <v>3639.08</v>
      </c>
      <c r="U364" t="s">
        <v>45</v>
      </c>
      <c r="V364" s="8" t="s">
        <v>34</v>
      </c>
      <c r="W364"/>
      <c r="X364"/>
    </row>
    <row r="365" spans="1:24" x14ac:dyDescent="0.3">
      <c r="A365" t="s">
        <v>983</v>
      </c>
      <c r="B365" t="s">
        <v>182</v>
      </c>
      <c r="C365">
        <v>37</v>
      </c>
      <c r="D365" t="s">
        <v>97</v>
      </c>
      <c r="E365" t="s">
        <v>98</v>
      </c>
      <c r="F365" t="s">
        <v>97</v>
      </c>
      <c r="G365" t="s">
        <v>39</v>
      </c>
      <c r="H365" s="8" t="s">
        <v>27</v>
      </c>
      <c r="I365" s="9">
        <v>42285.74</v>
      </c>
      <c r="J365" s="9">
        <v>34083.19</v>
      </c>
      <c r="K365" s="8" t="s">
        <v>28</v>
      </c>
      <c r="L365" s="10">
        <v>115943.7</v>
      </c>
      <c r="M365" s="8" t="s">
        <v>29</v>
      </c>
      <c r="N365" s="9">
        <v>79357.19</v>
      </c>
      <c r="O365" s="8" t="s">
        <v>30</v>
      </c>
      <c r="P365" t="str">
        <f>TEXT(Table1[[#This Row],[Transaction_Date]],"mmm")</f>
        <v>Sep</v>
      </c>
      <c r="Q365" s="11">
        <v>45928</v>
      </c>
      <c r="R365" s="8" t="s">
        <v>984</v>
      </c>
      <c r="S365" s="8" t="s">
        <v>70</v>
      </c>
      <c r="T365" s="9">
        <v>2984.91</v>
      </c>
      <c r="U365" t="s">
        <v>33</v>
      </c>
      <c r="V365" s="8" t="s">
        <v>62</v>
      </c>
      <c r="W365"/>
      <c r="X365"/>
    </row>
    <row r="366" spans="1:24" x14ac:dyDescent="0.3">
      <c r="A366" t="s">
        <v>985</v>
      </c>
      <c r="B366" t="s">
        <v>387</v>
      </c>
      <c r="C366">
        <v>18</v>
      </c>
      <c r="D366" t="s">
        <v>97</v>
      </c>
      <c r="E366" t="s">
        <v>98</v>
      </c>
      <c r="F366" t="s">
        <v>97</v>
      </c>
      <c r="G366" t="s">
        <v>39</v>
      </c>
      <c r="H366" s="8" t="s">
        <v>27</v>
      </c>
      <c r="I366" s="9">
        <v>53917.49</v>
      </c>
      <c r="J366" s="9">
        <v>19279.22</v>
      </c>
      <c r="K366" s="8" t="s">
        <v>74</v>
      </c>
      <c r="L366" s="10">
        <v>0</v>
      </c>
      <c r="M366" s="8" t="s">
        <v>75</v>
      </c>
      <c r="N366" s="9">
        <v>0</v>
      </c>
      <c r="O366" s="8" t="s">
        <v>30</v>
      </c>
      <c r="P366" t="str">
        <f>TEXT(Table1[[#This Row],[Transaction_Date]],"mmm")</f>
        <v>Jun</v>
      </c>
      <c r="Q366" s="11">
        <v>45821</v>
      </c>
      <c r="R366" s="8" t="s">
        <v>986</v>
      </c>
      <c r="S366" s="8" t="s">
        <v>54</v>
      </c>
      <c r="T366" s="9">
        <v>6805.97</v>
      </c>
      <c r="U366" t="s">
        <v>71</v>
      </c>
      <c r="V366" s="8" t="s">
        <v>62</v>
      </c>
      <c r="W366"/>
      <c r="X366"/>
    </row>
    <row r="367" spans="1:24" x14ac:dyDescent="0.3">
      <c r="A367" t="s">
        <v>987</v>
      </c>
      <c r="B367" t="s">
        <v>904</v>
      </c>
      <c r="C367">
        <v>31</v>
      </c>
      <c r="D367" t="s">
        <v>92</v>
      </c>
      <c r="E367" t="s">
        <v>93</v>
      </c>
      <c r="F367" t="s">
        <v>92</v>
      </c>
      <c r="G367" t="s">
        <v>39</v>
      </c>
      <c r="H367" s="8" t="s">
        <v>40</v>
      </c>
      <c r="I367" s="9">
        <v>51029.18</v>
      </c>
      <c r="J367" s="9">
        <v>19512.45</v>
      </c>
      <c r="K367" s="8" t="s">
        <v>52</v>
      </c>
      <c r="L367" s="10">
        <v>29885.63</v>
      </c>
      <c r="M367" s="8" t="s">
        <v>29</v>
      </c>
      <c r="N367" s="9">
        <v>22421.16</v>
      </c>
      <c r="O367" s="8" t="s">
        <v>30</v>
      </c>
      <c r="P367" t="str">
        <f>TEXT(Table1[[#This Row],[Transaction_Date]],"mmm")</f>
        <v>Dec</v>
      </c>
      <c r="Q367" s="11">
        <v>46013</v>
      </c>
      <c r="R367" s="8" t="s">
        <v>988</v>
      </c>
      <c r="S367" s="8" t="s">
        <v>54</v>
      </c>
      <c r="T367" s="9">
        <v>16044.41</v>
      </c>
      <c r="U367" t="s">
        <v>71</v>
      </c>
      <c r="V367" s="8" t="s">
        <v>62</v>
      </c>
      <c r="W367"/>
      <c r="X367"/>
    </row>
    <row r="368" spans="1:24" x14ac:dyDescent="0.3">
      <c r="A368" t="s">
        <v>989</v>
      </c>
      <c r="B368" t="s">
        <v>304</v>
      </c>
      <c r="C368">
        <v>22</v>
      </c>
      <c r="D368" t="s">
        <v>57</v>
      </c>
      <c r="E368" t="s">
        <v>58</v>
      </c>
      <c r="F368" t="s">
        <v>57</v>
      </c>
      <c r="G368" t="s">
        <v>39</v>
      </c>
      <c r="H368" s="8" t="s">
        <v>51</v>
      </c>
      <c r="I368" s="9">
        <v>12000</v>
      </c>
      <c r="J368" s="9">
        <v>34142.67</v>
      </c>
      <c r="K368" s="8" t="s">
        <v>68</v>
      </c>
      <c r="L368" s="10">
        <v>50477.25</v>
      </c>
      <c r="M368" s="8" t="s">
        <v>29</v>
      </c>
      <c r="N368" s="9">
        <v>17039.490000000002</v>
      </c>
      <c r="O368" s="8" t="s">
        <v>30</v>
      </c>
      <c r="P368" t="str">
        <f>TEXT(Table1[[#This Row],[Transaction_Date]],"mmm")</f>
        <v>Feb</v>
      </c>
      <c r="Q368" s="11">
        <v>45716</v>
      </c>
      <c r="R368" s="8" t="s">
        <v>990</v>
      </c>
      <c r="S368" s="8" t="s">
        <v>70</v>
      </c>
      <c r="T368" s="9">
        <v>1004.57</v>
      </c>
      <c r="U368" t="s">
        <v>45</v>
      </c>
      <c r="V368" s="8" t="s">
        <v>62</v>
      </c>
      <c r="W368"/>
      <c r="X368"/>
    </row>
    <row r="369" spans="1:24" hidden="1" x14ac:dyDescent="0.3">
      <c r="A369" t="s">
        <v>991</v>
      </c>
      <c r="B369" t="s">
        <v>992</v>
      </c>
      <c r="C369">
        <v>27</v>
      </c>
      <c r="D369" t="s">
        <v>49</v>
      </c>
      <c r="E369" t="s">
        <v>50</v>
      </c>
      <c r="F369" t="s">
        <v>49</v>
      </c>
      <c r="G369" t="s">
        <v>80</v>
      </c>
      <c r="H369" s="8" t="s">
        <v>27</v>
      </c>
      <c r="I369" s="9">
        <v>17108.45</v>
      </c>
      <c r="J369" s="9">
        <v>13524.19</v>
      </c>
      <c r="K369" s="8" t="s">
        <v>41</v>
      </c>
      <c r="L369" s="10">
        <v>25000</v>
      </c>
      <c r="M369" s="8" t="s">
        <v>29</v>
      </c>
      <c r="N369" s="9">
        <v>19289.93</v>
      </c>
      <c r="O369" s="8" t="s">
        <v>228</v>
      </c>
      <c r="P369" t="str">
        <f>TEXT(Table1[[#This Row],[Transaction_Date]],"mmm")</f>
        <v>Mar</v>
      </c>
      <c r="Q369" s="11">
        <v>45731</v>
      </c>
      <c r="R369" s="8" t="s">
        <v>993</v>
      </c>
      <c r="S369" s="8" t="s">
        <v>32</v>
      </c>
      <c r="T369" s="9">
        <v>1292.51</v>
      </c>
      <c r="U369" t="s">
        <v>106</v>
      </c>
      <c r="V369" s="8" t="s">
        <v>62</v>
      </c>
      <c r="W369"/>
      <c r="X369"/>
    </row>
    <row r="370" spans="1:24" x14ac:dyDescent="0.3">
      <c r="A370" t="s">
        <v>994</v>
      </c>
      <c r="B370" t="s">
        <v>243</v>
      </c>
      <c r="C370">
        <v>65</v>
      </c>
      <c r="D370" t="s">
        <v>84</v>
      </c>
      <c r="E370" t="s">
        <v>85</v>
      </c>
      <c r="F370" t="s">
        <v>84</v>
      </c>
      <c r="G370" t="s">
        <v>39</v>
      </c>
      <c r="H370" s="8" t="s">
        <v>40</v>
      </c>
      <c r="I370" s="9">
        <v>23625.31</v>
      </c>
      <c r="J370" s="9">
        <v>77643.48</v>
      </c>
      <c r="K370" s="8" t="s">
        <v>68</v>
      </c>
      <c r="L370" s="10">
        <v>73771.240000000005</v>
      </c>
      <c r="M370" s="8" t="s">
        <v>29</v>
      </c>
      <c r="N370" s="9">
        <v>50843.94</v>
      </c>
      <c r="O370" s="8" t="s">
        <v>30</v>
      </c>
      <c r="P370" t="str">
        <f>TEXT(Table1[[#This Row],[Transaction_Date]],"mmm")</f>
        <v>Mar</v>
      </c>
      <c r="Q370" s="11">
        <v>45719</v>
      </c>
      <c r="R370" s="8" t="s">
        <v>995</v>
      </c>
      <c r="S370" s="8" t="s">
        <v>54</v>
      </c>
      <c r="T370" s="9">
        <v>3076.5</v>
      </c>
      <c r="U370" t="s">
        <v>33</v>
      </c>
      <c r="V370" s="8" t="s">
        <v>62</v>
      </c>
      <c r="W370"/>
      <c r="X370"/>
    </row>
    <row r="371" spans="1:24" x14ac:dyDescent="0.3">
      <c r="A371" t="s">
        <v>996</v>
      </c>
      <c r="B371" t="s">
        <v>997</v>
      </c>
      <c r="C371">
        <v>47</v>
      </c>
      <c r="D371" t="s">
        <v>49</v>
      </c>
      <c r="E371" t="s">
        <v>50</v>
      </c>
      <c r="F371" t="s">
        <v>49</v>
      </c>
      <c r="G371" t="s">
        <v>39</v>
      </c>
      <c r="H371" s="8" t="s">
        <v>67</v>
      </c>
      <c r="I371" s="9">
        <v>12000</v>
      </c>
      <c r="J371" s="9">
        <v>15421.03</v>
      </c>
      <c r="K371" s="8" t="s">
        <v>28</v>
      </c>
      <c r="L371" s="10">
        <v>105530.09</v>
      </c>
      <c r="M371" s="8" t="s">
        <v>29</v>
      </c>
      <c r="N371" s="9">
        <v>82051.33</v>
      </c>
      <c r="O371" s="8" t="s">
        <v>30</v>
      </c>
      <c r="P371" t="str">
        <f>TEXT(Table1[[#This Row],[Transaction_Date]],"mmm")</f>
        <v>Mar</v>
      </c>
      <c r="Q371" s="11">
        <v>45726</v>
      </c>
      <c r="R371" s="8" t="s">
        <v>998</v>
      </c>
      <c r="S371" s="8" t="s">
        <v>32</v>
      </c>
      <c r="T371" s="9">
        <v>1149.31</v>
      </c>
      <c r="U371" t="s">
        <v>33</v>
      </c>
      <c r="V371" s="8" t="s">
        <v>62</v>
      </c>
      <c r="W371"/>
      <c r="X371"/>
    </row>
    <row r="372" spans="1:24" x14ac:dyDescent="0.3">
      <c r="A372" t="s">
        <v>999</v>
      </c>
      <c r="B372" t="s">
        <v>859</v>
      </c>
      <c r="C372">
        <v>34</v>
      </c>
      <c r="D372" t="s">
        <v>92</v>
      </c>
      <c r="E372" t="s">
        <v>93</v>
      </c>
      <c r="F372" t="s">
        <v>92</v>
      </c>
      <c r="G372" t="s">
        <v>39</v>
      </c>
      <c r="H372" s="8" t="s">
        <v>40</v>
      </c>
      <c r="I372" s="9">
        <v>95051.97</v>
      </c>
      <c r="J372" s="9">
        <v>9494.14</v>
      </c>
      <c r="K372" s="8" t="s">
        <v>74</v>
      </c>
      <c r="L372" s="10">
        <v>0</v>
      </c>
      <c r="M372" s="8" t="s">
        <v>75</v>
      </c>
      <c r="N372" s="9">
        <v>0</v>
      </c>
      <c r="O372" s="8" t="s">
        <v>30</v>
      </c>
      <c r="P372" t="str">
        <f>TEXT(Table1[[#This Row],[Transaction_Date]],"mmm")</f>
        <v>May</v>
      </c>
      <c r="Q372" s="11">
        <v>45798</v>
      </c>
      <c r="R372" s="8" t="s">
        <v>1000</v>
      </c>
      <c r="S372" s="8" t="s">
        <v>32</v>
      </c>
      <c r="T372" s="9">
        <v>7376.59</v>
      </c>
      <c r="U372" t="s">
        <v>33</v>
      </c>
      <c r="V372" s="8" t="s">
        <v>46</v>
      </c>
      <c r="W372"/>
      <c r="X372"/>
    </row>
    <row r="373" spans="1:24" x14ac:dyDescent="0.3">
      <c r="A373" t="s">
        <v>1001</v>
      </c>
      <c r="B373" t="s">
        <v>1002</v>
      </c>
      <c r="C373">
        <v>48</v>
      </c>
      <c r="D373" t="s">
        <v>49</v>
      </c>
      <c r="E373" t="s">
        <v>50</v>
      </c>
      <c r="F373" t="s">
        <v>49</v>
      </c>
      <c r="G373" t="s">
        <v>39</v>
      </c>
      <c r="H373" s="8" t="s">
        <v>27</v>
      </c>
      <c r="I373" s="9">
        <v>91331.9</v>
      </c>
      <c r="J373" s="9">
        <v>24347.32</v>
      </c>
      <c r="K373" s="8" t="s">
        <v>41</v>
      </c>
      <c r="L373" s="10">
        <v>70869.13</v>
      </c>
      <c r="M373" s="8" t="s">
        <v>29</v>
      </c>
      <c r="N373" s="9">
        <v>16002.42</v>
      </c>
      <c r="O373" s="8" t="s">
        <v>30</v>
      </c>
      <c r="P373" t="str">
        <f>TEXT(Table1[[#This Row],[Transaction_Date]],"mmm")</f>
        <v>Feb</v>
      </c>
      <c r="Q373" s="11">
        <v>45710</v>
      </c>
      <c r="R373" s="8" t="s">
        <v>1003</v>
      </c>
      <c r="S373" s="8" t="s">
        <v>44</v>
      </c>
      <c r="T373" s="9">
        <v>970.01</v>
      </c>
      <c r="U373" t="s">
        <v>71</v>
      </c>
      <c r="V373" s="8" t="s">
        <v>62</v>
      </c>
      <c r="W373"/>
      <c r="X373"/>
    </row>
    <row r="374" spans="1:24" x14ac:dyDescent="0.3">
      <c r="A374" t="s">
        <v>1004</v>
      </c>
      <c r="B374" t="s">
        <v>412</v>
      </c>
      <c r="C374">
        <v>26</v>
      </c>
      <c r="D374" t="s">
        <v>49</v>
      </c>
      <c r="E374" t="s">
        <v>50</v>
      </c>
      <c r="F374" t="s">
        <v>49</v>
      </c>
      <c r="G374" t="s">
        <v>39</v>
      </c>
      <c r="H374" s="8" t="s">
        <v>67</v>
      </c>
      <c r="I374" s="9">
        <v>12000</v>
      </c>
      <c r="J374" s="9">
        <v>47526.44</v>
      </c>
      <c r="K374" s="8" t="s">
        <v>59</v>
      </c>
      <c r="L374" s="10">
        <v>36230.17</v>
      </c>
      <c r="M374" s="8" t="s">
        <v>29</v>
      </c>
      <c r="N374" s="9">
        <v>15941.71</v>
      </c>
      <c r="O374" s="8" t="s">
        <v>30</v>
      </c>
      <c r="P374" t="str">
        <f>TEXT(Table1[[#This Row],[Transaction_Date]],"mmm")</f>
        <v>Nov</v>
      </c>
      <c r="Q374" s="11">
        <v>45970</v>
      </c>
      <c r="R374" s="8" t="s">
        <v>1005</v>
      </c>
      <c r="S374" s="8" t="s">
        <v>32</v>
      </c>
      <c r="T374" s="9">
        <v>3856.26</v>
      </c>
      <c r="U374" t="s">
        <v>45</v>
      </c>
      <c r="V374" s="8" t="s">
        <v>62</v>
      </c>
      <c r="W374"/>
      <c r="X374"/>
    </row>
    <row r="375" spans="1:24" x14ac:dyDescent="0.3">
      <c r="A375" t="s">
        <v>1006</v>
      </c>
      <c r="B375" t="s">
        <v>695</v>
      </c>
      <c r="C375">
        <v>27</v>
      </c>
      <c r="D375" t="s">
        <v>92</v>
      </c>
      <c r="E375" t="s">
        <v>93</v>
      </c>
      <c r="F375" t="s">
        <v>92</v>
      </c>
      <c r="G375" t="s">
        <v>39</v>
      </c>
      <c r="H375" s="8" t="s">
        <v>40</v>
      </c>
      <c r="I375" s="9">
        <v>57612.15</v>
      </c>
      <c r="J375" s="9">
        <v>7830.05</v>
      </c>
      <c r="K375" s="8" t="s">
        <v>28</v>
      </c>
      <c r="L375" s="10">
        <v>111814.8</v>
      </c>
      <c r="M375" s="8" t="s">
        <v>29</v>
      </c>
      <c r="N375" s="9">
        <v>95991.19</v>
      </c>
      <c r="O375" s="8" t="s">
        <v>30</v>
      </c>
      <c r="P375" t="str">
        <f>TEXT(Table1[[#This Row],[Transaction_Date]],"mmm")</f>
        <v>Jan</v>
      </c>
      <c r="Q375" s="11">
        <v>45673</v>
      </c>
      <c r="R375" s="8" t="s">
        <v>1007</v>
      </c>
      <c r="S375" s="8" t="s">
        <v>32</v>
      </c>
      <c r="T375" s="9">
        <v>4866.17</v>
      </c>
      <c r="U375" t="s">
        <v>61</v>
      </c>
      <c r="V375" s="8" t="s">
        <v>62</v>
      </c>
      <c r="W375"/>
      <c r="X375"/>
    </row>
    <row r="376" spans="1:24" x14ac:dyDescent="0.3">
      <c r="A376" t="s">
        <v>1008</v>
      </c>
      <c r="B376" t="s">
        <v>1009</v>
      </c>
      <c r="C376">
        <v>51</v>
      </c>
      <c r="D376" t="s">
        <v>65</v>
      </c>
      <c r="E376" t="s">
        <v>66</v>
      </c>
      <c r="F376" t="s">
        <v>65</v>
      </c>
      <c r="G376" t="s">
        <v>39</v>
      </c>
      <c r="H376" s="8" t="s">
        <v>40</v>
      </c>
      <c r="I376" s="9">
        <v>40627.49</v>
      </c>
      <c r="J376" s="9">
        <v>34209.440000000002</v>
      </c>
      <c r="K376" s="8" t="s">
        <v>59</v>
      </c>
      <c r="L376" s="10">
        <v>62642.13</v>
      </c>
      <c r="M376" s="8" t="s">
        <v>29</v>
      </c>
      <c r="N376" s="9">
        <v>15146.62</v>
      </c>
      <c r="O376" s="8" t="s">
        <v>228</v>
      </c>
      <c r="P376" t="str">
        <f>TEXT(Table1[[#This Row],[Transaction_Date]],"mmm")</f>
        <v>Jul</v>
      </c>
      <c r="Q376" s="11">
        <v>45862</v>
      </c>
      <c r="R376" s="8" t="s">
        <v>1010</v>
      </c>
      <c r="S376" s="8" t="s">
        <v>32</v>
      </c>
      <c r="T376" s="9">
        <v>277.54000000000002</v>
      </c>
      <c r="U376" t="s">
        <v>77</v>
      </c>
      <c r="V376" s="8" t="s">
        <v>34</v>
      </c>
      <c r="W376"/>
      <c r="X376"/>
    </row>
    <row r="377" spans="1:24" x14ac:dyDescent="0.3">
      <c r="A377" t="s">
        <v>1011</v>
      </c>
      <c r="B377" t="s">
        <v>135</v>
      </c>
      <c r="C377">
        <v>18</v>
      </c>
      <c r="D377" t="s">
        <v>97</v>
      </c>
      <c r="E377" t="s">
        <v>98</v>
      </c>
      <c r="F377" t="s">
        <v>97</v>
      </c>
      <c r="G377" t="s">
        <v>39</v>
      </c>
      <c r="H377" s="8" t="s">
        <v>27</v>
      </c>
      <c r="I377" s="9">
        <v>52390.6</v>
      </c>
      <c r="J377" s="9">
        <v>45954.42</v>
      </c>
      <c r="K377" s="8" t="s">
        <v>41</v>
      </c>
      <c r="L377" s="10">
        <v>100383.42</v>
      </c>
      <c r="M377" s="8" t="s">
        <v>29</v>
      </c>
      <c r="N377" s="9">
        <v>56728.79</v>
      </c>
      <c r="O377" s="8" t="s">
        <v>228</v>
      </c>
      <c r="P377" t="str">
        <f>TEXT(Table1[[#This Row],[Transaction_Date]],"mmm")</f>
        <v>Oct</v>
      </c>
      <c r="Q377" s="11">
        <v>45935</v>
      </c>
      <c r="R377" s="8" t="s">
        <v>1012</v>
      </c>
      <c r="S377" s="8" t="s">
        <v>32</v>
      </c>
      <c r="T377" s="9">
        <v>1242.3699999999999</v>
      </c>
      <c r="U377" t="s">
        <v>33</v>
      </c>
      <c r="V377" s="8" t="s">
        <v>62</v>
      </c>
      <c r="W377"/>
      <c r="X377"/>
    </row>
    <row r="378" spans="1:24" x14ac:dyDescent="0.3">
      <c r="A378" t="s">
        <v>1013</v>
      </c>
      <c r="B378" t="s">
        <v>188</v>
      </c>
      <c r="C378">
        <v>27</v>
      </c>
      <c r="D378" t="s">
        <v>24</v>
      </c>
      <c r="E378" t="s">
        <v>25</v>
      </c>
      <c r="F378" t="s">
        <v>24</v>
      </c>
      <c r="G378" t="s">
        <v>39</v>
      </c>
      <c r="H378" s="8" t="s">
        <v>27</v>
      </c>
      <c r="I378" s="9">
        <v>47882.8</v>
      </c>
      <c r="J378" s="9">
        <v>131359.72</v>
      </c>
      <c r="K378" s="8" t="s">
        <v>28</v>
      </c>
      <c r="L378" s="10">
        <v>56350.16</v>
      </c>
      <c r="M378" s="8" t="s">
        <v>42</v>
      </c>
      <c r="N378" s="9">
        <v>0</v>
      </c>
      <c r="O378" s="8" t="s">
        <v>30</v>
      </c>
      <c r="P378" t="str">
        <f>TEXT(Table1[[#This Row],[Transaction_Date]],"mmm")</f>
        <v>Sep</v>
      </c>
      <c r="Q378" s="11">
        <v>45904</v>
      </c>
      <c r="R378" s="8" t="s">
        <v>1014</v>
      </c>
      <c r="S378" s="8" t="s">
        <v>44</v>
      </c>
      <c r="T378" s="9">
        <v>1065.32</v>
      </c>
      <c r="U378" t="s">
        <v>71</v>
      </c>
      <c r="V378" s="8" t="s">
        <v>62</v>
      </c>
      <c r="W378"/>
      <c r="X378"/>
    </row>
    <row r="379" spans="1:24" x14ac:dyDescent="0.3">
      <c r="A379" t="s">
        <v>1015</v>
      </c>
      <c r="B379" t="s">
        <v>162</v>
      </c>
      <c r="C379">
        <v>40</v>
      </c>
      <c r="D379" t="s">
        <v>57</v>
      </c>
      <c r="E379" t="s">
        <v>58</v>
      </c>
      <c r="F379" t="s">
        <v>57</v>
      </c>
      <c r="G379" t="s">
        <v>39</v>
      </c>
      <c r="H379" s="8" t="s">
        <v>51</v>
      </c>
      <c r="I379" s="9">
        <v>50788.54</v>
      </c>
      <c r="J379" s="9">
        <v>12079.76</v>
      </c>
      <c r="K379" s="8" t="s">
        <v>28</v>
      </c>
      <c r="L379" s="10">
        <v>42756.2</v>
      </c>
      <c r="M379" s="8" t="s">
        <v>29</v>
      </c>
      <c r="N379" s="9">
        <v>15628.43</v>
      </c>
      <c r="O379" s="8" t="s">
        <v>30</v>
      </c>
      <c r="P379" t="str">
        <f>TEXT(Table1[[#This Row],[Transaction_Date]],"mmm")</f>
        <v>May</v>
      </c>
      <c r="Q379" s="11">
        <v>45796</v>
      </c>
      <c r="R379" s="8" t="s">
        <v>1016</v>
      </c>
      <c r="S379" s="8" t="s">
        <v>70</v>
      </c>
      <c r="T379" s="9">
        <v>3006.86</v>
      </c>
      <c r="U379" t="s">
        <v>106</v>
      </c>
      <c r="V379" s="8" t="s">
        <v>62</v>
      </c>
      <c r="W379"/>
      <c r="X379"/>
    </row>
    <row r="380" spans="1:24" x14ac:dyDescent="0.3">
      <c r="A380" t="s">
        <v>1017</v>
      </c>
      <c r="B380" t="s">
        <v>992</v>
      </c>
      <c r="C380">
        <v>28</v>
      </c>
      <c r="D380" t="s">
        <v>97</v>
      </c>
      <c r="E380" t="s">
        <v>98</v>
      </c>
      <c r="F380" t="s">
        <v>97</v>
      </c>
      <c r="G380" t="s">
        <v>39</v>
      </c>
      <c r="H380" s="8" t="s">
        <v>27</v>
      </c>
      <c r="I380" s="9">
        <v>75928.740000000005</v>
      </c>
      <c r="J380" s="9">
        <v>19610.439999999999</v>
      </c>
      <c r="K380" s="8" t="s">
        <v>59</v>
      </c>
      <c r="L380" s="10">
        <v>88891.65</v>
      </c>
      <c r="M380" s="8" t="s">
        <v>29</v>
      </c>
      <c r="N380" s="9">
        <v>28423.08</v>
      </c>
      <c r="O380" s="8" t="s">
        <v>30</v>
      </c>
      <c r="P380" t="str">
        <f>TEXT(Table1[[#This Row],[Transaction_Date]],"mmm")</f>
        <v>Oct</v>
      </c>
      <c r="Q380" s="11">
        <v>45938</v>
      </c>
      <c r="R380" s="8" t="s">
        <v>1018</v>
      </c>
      <c r="S380" s="8" t="s">
        <v>54</v>
      </c>
      <c r="T380" s="9">
        <v>5698.56</v>
      </c>
      <c r="U380" t="s">
        <v>106</v>
      </c>
      <c r="V380" s="8" t="s">
        <v>46</v>
      </c>
      <c r="W380"/>
      <c r="X380"/>
    </row>
    <row r="381" spans="1:24" x14ac:dyDescent="0.3">
      <c r="A381" t="s">
        <v>1019</v>
      </c>
      <c r="B381" t="s">
        <v>111</v>
      </c>
      <c r="C381">
        <v>27</v>
      </c>
      <c r="D381" t="s">
        <v>92</v>
      </c>
      <c r="E381" t="s">
        <v>93</v>
      </c>
      <c r="F381" t="s">
        <v>92</v>
      </c>
      <c r="G381" t="s">
        <v>39</v>
      </c>
      <c r="H381" s="8" t="s">
        <v>27</v>
      </c>
      <c r="I381" s="9">
        <v>55530.27</v>
      </c>
      <c r="J381" s="9">
        <v>15659.52</v>
      </c>
      <c r="K381" s="8" t="s">
        <v>59</v>
      </c>
      <c r="L381" s="10">
        <v>71569.45</v>
      </c>
      <c r="M381" s="8" t="s">
        <v>29</v>
      </c>
      <c r="N381" s="9">
        <v>32642.97</v>
      </c>
      <c r="O381" s="8" t="s">
        <v>30</v>
      </c>
      <c r="P381" t="str">
        <f>TEXT(Table1[[#This Row],[Transaction_Date]],"mmm")</f>
        <v>Aug</v>
      </c>
      <c r="Q381" s="11">
        <v>45888</v>
      </c>
      <c r="R381" s="8" t="s">
        <v>1020</v>
      </c>
      <c r="S381" s="8" t="s">
        <v>32</v>
      </c>
      <c r="T381" s="9">
        <v>1169.71</v>
      </c>
      <c r="U381" t="s">
        <v>106</v>
      </c>
      <c r="V381" s="8" t="s">
        <v>46</v>
      </c>
      <c r="W381"/>
      <c r="X381"/>
    </row>
    <row r="382" spans="1:24" x14ac:dyDescent="0.3">
      <c r="A382" t="s">
        <v>1021</v>
      </c>
      <c r="B382" t="s">
        <v>356</v>
      </c>
      <c r="C382">
        <v>38</v>
      </c>
      <c r="D382" t="s">
        <v>97</v>
      </c>
      <c r="E382" t="s">
        <v>98</v>
      </c>
      <c r="F382" t="s">
        <v>97</v>
      </c>
      <c r="G382" t="s">
        <v>39</v>
      </c>
      <c r="H382" s="8" t="s">
        <v>40</v>
      </c>
      <c r="I382" s="9">
        <v>40061.050000000003</v>
      </c>
      <c r="J382" s="9">
        <v>23616.14</v>
      </c>
      <c r="K382" s="8" t="s">
        <v>74</v>
      </c>
      <c r="L382" s="10">
        <v>0</v>
      </c>
      <c r="M382" s="8" t="s">
        <v>75</v>
      </c>
      <c r="N382" s="9">
        <v>0</v>
      </c>
      <c r="O382" s="8" t="s">
        <v>30</v>
      </c>
      <c r="P382" t="str">
        <f>TEXT(Table1[[#This Row],[Transaction_Date]],"mmm")</f>
        <v>Apr</v>
      </c>
      <c r="Q382" s="11">
        <v>45772</v>
      </c>
      <c r="R382" s="8" t="s">
        <v>1022</v>
      </c>
      <c r="S382" s="8" t="s">
        <v>32</v>
      </c>
      <c r="T382" s="9">
        <v>450.71</v>
      </c>
      <c r="U382" t="s">
        <v>77</v>
      </c>
      <c r="V382" s="8" t="s">
        <v>62</v>
      </c>
      <c r="W382"/>
      <c r="X382"/>
    </row>
    <row r="383" spans="1:24" hidden="1" x14ac:dyDescent="0.3">
      <c r="A383" t="s">
        <v>1023</v>
      </c>
      <c r="B383" t="s">
        <v>957</v>
      </c>
      <c r="C383">
        <v>39</v>
      </c>
      <c r="D383" t="s">
        <v>65</v>
      </c>
      <c r="E383" t="s">
        <v>66</v>
      </c>
      <c r="F383" t="s">
        <v>65</v>
      </c>
      <c r="G383" t="s">
        <v>51</v>
      </c>
      <c r="H383" s="8" t="s">
        <v>40</v>
      </c>
      <c r="I383" s="9">
        <v>37622.550000000003</v>
      </c>
      <c r="J383" s="9">
        <v>15624.83</v>
      </c>
      <c r="K383" s="8" t="s">
        <v>28</v>
      </c>
      <c r="L383" s="10">
        <v>59788.63</v>
      </c>
      <c r="M383" s="8" t="s">
        <v>29</v>
      </c>
      <c r="N383" s="9">
        <v>34522.870000000003</v>
      </c>
      <c r="O383" s="8" t="s">
        <v>30</v>
      </c>
      <c r="P383" t="str">
        <f>TEXT(Table1[[#This Row],[Transaction_Date]],"mmm")</f>
        <v>Jun</v>
      </c>
      <c r="Q383" s="11">
        <v>45826</v>
      </c>
      <c r="R383" s="8" t="s">
        <v>1024</v>
      </c>
      <c r="S383" s="8" t="s">
        <v>54</v>
      </c>
      <c r="T383" s="9">
        <v>1466.08</v>
      </c>
      <c r="U383" t="s">
        <v>71</v>
      </c>
      <c r="V383" s="8" t="s">
        <v>62</v>
      </c>
      <c r="W383"/>
      <c r="X383"/>
    </row>
    <row r="384" spans="1:24" hidden="1" x14ac:dyDescent="0.3">
      <c r="A384" t="s">
        <v>1025</v>
      </c>
      <c r="B384" t="s">
        <v>1026</v>
      </c>
      <c r="C384">
        <v>43</v>
      </c>
      <c r="D384" t="s">
        <v>57</v>
      </c>
      <c r="E384" t="s">
        <v>58</v>
      </c>
      <c r="F384" t="s">
        <v>57</v>
      </c>
      <c r="G384" t="s">
        <v>26</v>
      </c>
      <c r="H384" s="8" t="s">
        <v>40</v>
      </c>
      <c r="I384" s="9">
        <v>70432.89</v>
      </c>
      <c r="J384" s="9">
        <v>8168.03</v>
      </c>
      <c r="K384" s="8" t="s">
        <v>59</v>
      </c>
      <c r="L384" s="10">
        <v>88358.12</v>
      </c>
      <c r="M384" s="8" t="s">
        <v>42</v>
      </c>
      <c r="N384" s="9">
        <v>0</v>
      </c>
      <c r="O384" s="8" t="s">
        <v>30</v>
      </c>
      <c r="P384" t="str">
        <f>TEXT(Table1[[#This Row],[Transaction_Date]],"mmm")</f>
        <v>Mar</v>
      </c>
      <c r="Q384" s="11">
        <v>45726</v>
      </c>
      <c r="R384" s="8" t="s">
        <v>1027</v>
      </c>
      <c r="S384" s="8" t="s">
        <v>44</v>
      </c>
      <c r="T384" s="9">
        <v>4404.7700000000004</v>
      </c>
      <c r="U384" t="s">
        <v>33</v>
      </c>
      <c r="V384" s="8" t="s">
        <v>62</v>
      </c>
      <c r="W384"/>
      <c r="X384"/>
    </row>
    <row r="385" spans="1:24" hidden="1" x14ac:dyDescent="0.3">
      <c r="A385" t="s">
        <v>1028</v>
      </c>
      <c r="B385" t="s">
        <v>1029</v>
      </c>
      <c r="C385">
        <v>27</v>
      </c>
      <c r="D385" t="s">
        <v>24</v>
      </c>
      <c r="E385" t="s">
        <v>25</v>
      </c>
      <c r="F385" t="s">
        <v>24</v>
      </c>
      <c r="G385" t="s">
        <v>80</v>
      </c>
      <c r="H385" s="8" t="s">
        <v>40</v>
      </c>
      <c r="I385" s="9">
        <v>57519.96</v>
      </c>
      <c r="J385" s="9">
        <v>26324.38</v>
      </c>
      <c r="K385" s="8" t="s">
        <v>74</v>
      </c>
      <c r="L385" s="10">
        <v>0</v>
      </c>
      <c r="M385" s="8" t="s">
        <v>75</v>
      </c>
      <c r="N385" s="9">
        <v>0</v>
      </c>
      <c r="O385" s="8" t="s">
        <v>30</v>
      </c>
      <c r="P385" t="str">
        <f>TEXT(Table1[[#This Row],[Transaction_Date]],"mmm")</f>
        <v>Oct</v>
      </c>
      <c r="Q385" s="11">
        <v>45960</v>
      </c>
      <c r="R385" s="8" t="s">
        <v>1030</v>
      </c>
      <c r="S385" s="8" t="s">
        <v>44</v>
      </c>
      <c r="T385" s="9">
        <v>3214.46</v>
      </c>
      <c r="U385" t="s">
        <v>33</v>
      </c>
      <c r="V385" s="8" t="s">
        <v>46</v>
      </c>
      <c r="W385"/>
      <c r="X385"/>
    </row>
    <row r="386" spans="1:24" x14ac:dyDescent="0.3">
      <c r="A386" t="s">
        <v>1031</v>
      </c>
      <c r="B386" t="s">
        <v>1032</v>
      </c>
      <c r="C386">
        <v>30</v>
      </c>
      <c r="D386" t="s">
        <v>92</v>
      </c>
      <c r="E386" t="s">
        <v>93</v>
      </c>
      <c r="F386" t="s">
        <v>92</v>
      </c>
      <c r="G386" t="s">
        <v>39</v>
      </c>
      <c r="H386" s="8" t="s">
        <v>40</v>
      </c>
      <c r="I386" s="9">
        <v>33122.57</v>
      </c>
      <c r="J386" s="9">
        <v>30655.99</v>
      </c>
      <c r="K386" s="8" t="s">
        <v>74</v>
      </c>
      <c r="L386" s="10">
        <v>0</v>
      </c>
      <c r="M386" s="8" t="s">
        <v>75</v>
      </c>
      <c r="N386" s="9">
        <v>0</v>
      </c>
      <c r="O386" s="8" t="s">
        <v>30</v>
      </c>
      <c r="P386" t="str">
        <f>TEXT(Table1[[#This Row],[Transaction_Date]],"mmm")</f>
        <v>Jan</v>
      </c>
      <c r="Q386" s="11">
        <v>45673</v>
      </c>
      <c r="R386" s="8" t="s">
        <v>1033</v>
      </c>
      <c r="S386" s="8" t="s">
        <v>44</v>
      </c>
      <c r="T386" s="9">
        <v>3443.31</v>
      </c>
      <c r="U386" t="s">
        <v>61</v>
      </c>
      <c r="V386" s="8" t="s">
        <v>34</v>
      </c>
      <c r="W386"/>
      <c r="X386"/>
    </row>
    <row r="387" spans="1:24" x14ac:dyDescent="0.3">
      <c r="A387" t="s">
        <v>1034</v>
      </c>
      <c r="B387" t="s">
        <v>659</v>
      </c>
      <c r="C387">
        <v>28</v>
      </c>
      <c r="D387" t="s">
        <v>37</v>
      </c>
      <c r="E387" t="s">
        <v>38</v>
      </c>
      <c r="F387" t="s">
        <v>37</v>
      </c>
      <c r="G387" t="s">
        <v>39</v>
      </c>
      <c r="H387" s="8" t="s">
        <v>40</v>
      </c>
      <c r="I387" s="9">
        <v>12000</v>
      </c>
      <c r="J387" s="9">
        <v>27415.64</v>
      </c>
      <c r="K387" s="8" t="s">
        <v>74</v>
      </c>
      <c r="L387" s="10">
        <v>0</v>
      </c>
      <c r="M387" s="8" t="s">
        <v>75</v>
      </c>
      <c r="N387" s="9">
        <v>0</v>
      </c>
      <c r="O387" s="8" t="s">
        <v>30</v>
      </c>
      <c r="P387" t="str">
        <f>TEXT(Table1[[#This Row],[Transaction_Date]],"mmm")</f>
        <v>Oct</v>
      </c>
      <c r="Q387" s="11">
        <v>45932</v>
      </c>
      <c r="R387" s="8" t="s">
        <v>1035</v>
      </c>
      <c r="S387" s="8" t="s">
        <v>32</v>
      </c>
      <c r="T387" s="9">
        <v>4564</v>
      </c>
      <c r="U387" t="s">
        <v>106</v>
      </c>
      <c r="V387" s="8" t="s">
        <v>34</v>
      </c>
      <c r="W387"/>
      <c r="X387"/>
    </row>
    <row r="388" spans="1:24" hidden="1" x14ac:dyDescent="0.3">
      <c r="A388" t="s">
        <v>1036</v>
      </c>
      <c r="B388" t="s">
        <v>224</v>
      </c>
      <c r="C388">
        <v>38</v>
      </c>
      <c r="D388" t="s">
        <v>57</v>
      </c>
      <c r="E388" t="s">
        <v>58</v>
      </c>
      <c r="F388" t="s">
        <v>57</v>
      </c>
      <c r="G388" t="s">
        <v>51</v>
      </c>
      <c r="H388" s="8" t="s">
        <v>51</v>
      </c>
      <c r="I388" s="9">
        <v>71081.100000000006</v>
      </c>
      <c r="J388" s="9">
        <v>14370.3</v>
      </c>
      <c r="K388" s="8" t="s">
        <v>52</v>
      </c>
      <c r="L388" s="10">
        <v>36754.1</v>
      </c>
      <c r="M388" s="8" t="s">
        <v>29</v>
      </c>
      <c r="N388" s="9">
        <v>16558.98</v>
      </c>
      <c r="O388" s="8" t="s">
        <v>30</v>
      </c>
      <c r="P388" t="str">
        <f>TEXT(Table1[[#This Row],[Transaction_Date]],"mmm")</f>
        <v>Jul</v>
      </c>
      <c r="Q388" s="11">
        <v>45859</v>
      </c>
      <c r="R388" s="8" t="s">
        <v>1037</v>
      </c>
      <c r="S388" s="8" t="s">
        <v>32</v>
      </c>
      <c r="T388" s="9">
        <v>2599.23</v>
      </c>
      <c r="U388" t="s">
        <v>45</v>
      </c>
      <c r="V388" s="8" t="s">
        <v>62</v>
      </c>
      <c r="W388"/>
      <c r="X388"/>
    </row>
    <row r="389" spans="1:24" x14ac:dyDescent="0.3">
      <c r="A389" t="s">
        <v>1038</v>
      </c>
      <c r="B389" t="s">
        <v>209</v>
      </c>
      <c r="C389">
        <v>34</v>
      </c>
      <c r="D389" t="s">
        <v>37</v>
      </c>
      <c r="E389" t="s">
        <v>38</v>
      </c>
      <c r="F389" t="s">
        <v>37</v>
      </c>
      <c r="G389" t="s">
        <v>39</v>
      </c>
      <c r="H389" s="8" t="s">
        <v>40</v>
      </c>
      <c r="I389" s="9">
        <v>63283.22</v>
      </c>
      <c r="J389" s="9">
        <v>22485.81</v>
      </c>
      <c r="K389" s="8" t="s">
        <v>28</v>
      </c>
      <c r="L389" s="10">
        <v>31402.32</v>
      </c>
      <c r="M389" s="8" t="s">
        <v>29</v>
      </c>
      <c r="N389" s="9">
        <v>24168.49</v>
      </c>
      <c r="O389" s="8" t="s">
        <v>30</v>
      </c>
      <c r="P389" t="str">
        <f>TEXT(Table1[[#This Row],[Transaction_Date]],"mmm")</f>
        <v>Apr</v>
      </c>
      <c r="Q389" s="11">
        <v>45749</v>
      </c>
      <c r="R389" s="8" t="s">
        <v>1039</v>
      </c>
      <c r="S389" s="8" t="s">
        <v>70</v>
      </c>
      <c r="T389" s="9">
        <v>1324.81</v>
      </c>
      <c r="U389" t="s">
        <v>71</v>
      </c>
      <c r="V389" s="8" t="s">
        <v>34</v>
      </c>
      <c r="W389"/>
      <c r="X389"/>
    </row>
    <row r="390" spans="1:24" hidden="1" x14ac:dyDescent="0.3">
      <c r="A390" t="s">
        <v>1040</v>
      </c>
      <c r="B390" t="s">
        <v>790</v>
      </c>
      <c r="C390">
        <v>50</v>
      </c>
      <c r="D390" t="s">
        <v>24</v>
      </c>
      <c r="E390" t="s">
        <v>25</v>
      </c>
      <c r="F390" t="s">
        <v>24</v>
      </c>
      <c r="G390" t="s">
        <v>51</v>
      </c>
      <c r="H390" s="8" t="s">
        <v>67</v>
      </c>
      <c r="I390" s="9">
        <v>14187.32</v>
      </c>
      <c r="J390" s="9">
        <v>11280.17</v>
      </c>
      <c r="K390" s="8" t="s">
        <v>59</v>
      </c>
      <c r="L390" s="10">
        <v>81725.259999999995</v>
      </c>
      <c r="M390" s="8" t="s">
        <v>42</v>
      </c>
      <c r="N390" s="9">
        <v>0</v>
      </c>
      <c r="O390" s="8" t="s">
        <v>30</v>
      </c>
      <c r="P390" t="str">
        <f>TEXT(Table1[[#This Row],[Transaction_Date]],"mmm")</f>
        <v>Oct</v>
      </c>
      <c r="Q390" s="11">
        <v>45959</v>
      </c>
      <c r="R390" s="8" t="s">
        <v>1041</v>
      </c>
      <c r="S390" s="8" t="s">
        <v>32</v>
      </c>
      <c r="T390" s="9">
        <v>564.79999999999995</v>
      </c>
      <c r="U390" t="s">
        <v>106</v>
      </c>
      <c r="V390" s="8" t="s">
        <v>62</v>
      </c>
      <c r="W390"/>
      <c r="X390"/>
    </row>
    <row r="391" spans="1:24" x14ac:dyDescent="0.3">
      <c r="A391" t="s">
        <v>1042</v>
      </c>
      <c r="B391" t="s">
        <v>832</v>
      </c>
      <c r="C391">
        <v>34</v>
      </c>
      <c r="D391" t="s">
        <v>65</v>
      </c>
      <c r="E391" t="s">
        <v>66</v>
      </c>
      <c r="F391" t="s">
        <v>65</v>
      </c>
      <c r="G391" t="s">
        <v>39</v>
      </c>
      <c r="H391" s="8" t="s">
        <v>40</v>
      </c>
      <c r="I391" s="9">
        <v>80452.100000000006</v>
      </c>
      <c r="J391" s="9">
        <v>12044.94</v>
      </c>
      <c r="K391" s="8" t="s">
        <v>41</v>
      </c>
      <c r="L391" s="10">
        <v>59272.69</v>
      </c>
      <c r="M391" s="8" t="s">
        <v>29</v>
      </c>
      <c r="N391" s="9">
        <v>13546</v>
      </c>
      <c r="O391" s="8" t="s">
        <v>30</v>
      </c>
      <c r="P391" t="str">
        <f>TEXT(Table1[[#This Row],[Transaction_Date]],"mmm")</f>
        <v>Mar</v>
      </c>
      <c r="Q391" s="11">
        <v>45743</v>
      </c>
      <c r="R391" s="8" t="s">
        <v>1043</v>
      </c>
      <c r="S391" s="8" t="s">
        <v>54</v>
      </c>
      <c r="T391" s="9">
        <v>9908.1200000000008</v>
      </c>
      <c r="U391" t="s">
        <v>45</v>
      </c>
      <c r="V391" s="8" t="s">
        <v>62</v>
      </c>
      <c r="W391"/>
      <c r="X391"/>
    </row>
    <row r="392" spans="1:24" x14ac:dyDescent="0.3">
      <c r="A392" t="s">
        <v>1044</v>
      </c>
      <c r="B392" t="s">
        <v>1045</v>
      </c>
      <c r="C392">
        <v>38</v>
      </c>
      <c r="D392" t="s">
        <v>24</v>
      </c>
      <c r="E392" t="s">
        <v>25</v>
      </c>
      <c r="F392" t="s">
        <v>24</v>
      </c>
      <c r="G392" t="s">
        <v>39</v>
      </c>
      <c r="H392" s="8" t="s">
        <v>40</v>
      </c>
      <c r="I392" s="9">
        <v>61268.53</v>
      </c>
      <c r="J392" s="9">
        <v>80164.990000000005</v>
      </c>
      <c r="K392" s="8" t="s">
        <v>74</v>
      </c>
      <c r="L392" s="10">
        <v>0</v>
      </c>
      <c r="M392" s="8" t="s">
        <v>75</v>
      </c>
      <c r="N392" s="9">
        <v>0</v>
      </c>
      <c r="O392" s="8" t="s">
        <v>30</v>
      </c>
      <c r="P392" t="str">
        <f>TEXT(Table1[[#This Row],[Transaction_Date]],"mmm")</f>
        <v>Apr</v>
      </c>
      <c r="Q392" s="11">
        <v>45764</v>
      </c>
      <c r="R392" s="8" t="s">
        <v>1046</v>
      </c>
      <c r="S392" s="8" t="s">
        <v>54</v>
      </c>
      <c r="T392" s="9">
        <v>3334.74</v>
      </c>
      <c r="U392" t="s">
        <v>71</v>
      </c>
      <c r="V392" s="8" t="s">
        <v>62</v>
      </c>
      <c r="W392"/>
      <c r="X392"/>
    </row>
    <row r="393" spans="1:24" hidden="1" x14ac:dyDescent="0.3">
      <c r="A393" t="s">
        <v>1047</v>
      </c>
      <c r="B393" t="s">
        <v>356</v>
      </c>
      <c r="C393">
        <v>30</v>
      </c>
      <c r="D393" t="s">
        <v>49</v>
      </c>
      <c r="E393" t="s">
        <v>50</v>
      </c>
      <c r="F393" t="s">
        <v>49</v>
      </c>
      <c r="G393" t="s">
        <v>26</v>
      </c>
      <c r="H393" s="8" t="s">
        <v>27</v>
      </c>
      <c r="I393" s="9">
        <v>42639.47</v>
      </c>
      <c r="J393" s="9">
        <v>31893.25</v>
      </c>
      <c r="K393" s="8" t="s">
        <v>28</v>
      </c>
      <c r="L393" s="10">
        <v>85778.25</v>
      </c>
      <c r="M393" s="8" t="s">
        <v>29</v>
      </c>
      <c r="N393" s="9">
        <v>48510.27</v>
      </c>
      <c r="O393" s="8" t="s">
        <v>30</v>
      </c>
      <c r="P393" t="str">
        <f>TEXT(Table1[[#This Row],[Transaction_Date]],"mmm")</f>
        <v>Jul</v>
      </c>
      <c r="Q393" s="11">
        <v>45848</v>
      </c>
      <c r="R393" s="8" t="s">
        <v>1048</v>
      </c>
      <c r="S393" s="8" t="s">
        <v>70</v>
      </c>
      <c r="T393" s="9">
        <v>5146.79</v>
      </c>
      <c r="U393" t="s">
        <v>77</v>
      </c>
      <c r="V393" s="8" t="s">
        <v>46</v>
      </c>
      <c r="W393"/>
      <c r="X393"/>
    </row>
    <row r="394" spans="1:24" hidden="1" x14ac:dyDescent="0.3">
      <c r="A394" t="s">
        <v>1049</v>
      </c>
      <c r="B394" t="s">
        <v>1050</v>
      </c>
      <c r="C394">
        <v>28</v>
      </c>
      <c r="D394" t="s">
        <v>97</v>
      </c>
      <c r="E394" t="s">
        <v>98</v>
      </c>
      <c r="F394" t="s">
        <v>97</v>
      </c>
      <c r="G394" t="s">
        <v>51</v>
      </c>
      <c r="H394" s="8" t="s">
        <v>27</v>
      </c>
      <c r="I394" s="9">
        <v>36825.54</v>
      </c>
      <c r="J394" s="9">
        <v>16636.650000000001</v>
      </c>
      <c r="K394" s="8" t="s">
        <v>74</v>
      </c>
      <c r="L394" s="10">
        <v>0</v>
      </c>
      <c r="M394" s="8" t="s">
        <v>75</v>
      </c>
      <c r="N394" s="9">
        <v>0</v>
      </c>
      <c r="O394" s="8" t="s">
        <v>30</v>
      </c>
      <c r="P394" t="str">
        <f>TEXT(Table1[[#This Row],[Transaction_Date]],"mmm")</f>
        <v>Nov</v>
      </c>
      <c r="Q394" s="11">
        <v>45963</v>
      </c>
      <c r="R394" s="8" t="s">
        <v>1051</v>
      </c>
      <c r="S394" s="8" t="s">
        <v>70</v>
      </c>
      <c r="T394" s="9">
        <v>726.43</v>
      </c>
      <c r="U394" t="s">
        <v>61</v>
      </c>
      <c r="V394" s="8" t="s">
        <v>62</v>
      </c>
      <c r="W394"/>
      <c r="X394"/>
    </row>
    <row r="395" spans="1:24" x14ac:dyDescent="0.3">
      <c r="A395" t="s">
        <v>1052</v>
      </c>
      <c r="B395" t="s">
        <v>132</v>
      </c>
      <c r="C395">
        <v>35</v>
      </c>
      <c r="D395" t="s">
        <v>84</v>
      </c>
      <c r="E395" t="s">
        <v>85</v>
      </c>
      <c r="F395" t="s">
        <v>84</v>
      </c>
      <c r="G395" t="s">
        <v>39</v>
      </c>
      <c r="H395" s="8" t="s">
        <v>40</v>
      </c>
      <c r="I395" s="9">
        <v>82655.75</v>
      </c>
      <c r="J395" s="9">
        <v>25227.4</v>
      </c>
      <c r="K395" s="8" t="s">
        <v>59</v>
      </c>
      <c r="L395" s="10">
        <v>419044.6</v>
      </c>
      <c r="M395" s="8" t="s">
        <v>29</v>
      </c>
      <c r="N395" s="9">
        <v>145939.71</v>
      </c>
      <c r="O395" s="8" t="s">
        <v>30</v>
      </c>
      <c r="P395" t="str">
        <f>TEXT(Table1[[#This Row],[Transaction_Date]],"mmm")</f>
        <v>Dec</v>
      </c>
      <c r="Q395" s="11">
        <v>45994</v>
      </c>
      <c r="R395" s="8" t="s">
        <v>1053</v>
      </c>
      <c r="S395" s="8" t="s">
        <v>44</v>
      </c>
      <c r="T395" s="9">
        <v>8368.07</v>
      </c>
      <c r="U395" t="s">
        <v>106</v>
      </c>
      <c r="V395" s="8" t="s">
        <v>62</v>
      </c>
      <c r="W395"/>
      <c r="X395"/>
    </row>
    <row r="396" spans="1:24" x14ac:dyDescent="0.3">
      <c r="A396" t="s">
        <v>1054</v>
      </c>
      <c r="B396" t="s">
        <v>1055</v>
      </c>
      <c r="C396">
        <v>35</v>
      </c>
      <c r="D396" t="s">
        <v>57</v>
      </c>
      <c r="E396" t="s">
        <v>58</v>
      </c>
      <c r="F396" t="s">
        <v>57</v>
      </c>
      <c r="G396" t="s">
        <v>39</v>
      </c>
      <c r="H396" s="8" t="s">
        <v>40</v>
      </c>
      <c r="I396" s="9">
        <v>58773.21</v>
      </c>
      <c r="J396" s="9">
        <v>18038.740000000002</v>
      </c>
      <c r="K396" s="8" t="s">
        <v>74</v>
      </c>
      <c r="L396" s="10">
        <v>0</v>
      </c>
      <c r="M396" s="8" t="s">
        <v>75</v>
      </c>
      <c r="N396" s="9">
        <v>0</v>
      </c>
      <c r="O396" s="8" t="s">
        <v>30</v>
      </c>
      <c r="P396" t="str">
        <f>TEXT(Table1[[#This Row],[Transaction_Date]],"mmm")</f>
        <v>Sep</v>
      </c>
      <c r="Q396" s="11">
        <v>45903</v>
      </c>
      <c r="R396" s="8" t="s">
        <v>1056</v>
      </c>
      <c r="S396" s="8" t="s">
        <v>54</v>
      </c>
      <c r="T396" s="9">
        <v>6169.74</v>
      </c>
      <c r="U396" t="s">
        <v>71</v>
      </c>
      <c r="V396" s="8" t="s">
        <v>62</v>
      </c>
      <c r="W396"/>
      <c r="X396"/>
    </row>
    <row r="397" spans="1:24" hidden="1" x14ac:dyDescent="0.3">
      <c r="A397" t="s">
        <v>1057</v>
      </c>
      <c r="B397" t="s">
        <v>592</v>
      </c>
      <c r="C397">
        <v>39</v>
      </c>
      <c r="D397" t="s">
        <v>37</v>
      </c>
      <c r="E397" t="s">
        <v>38</v>
      </c>
      <c r="F397" t="s">
        <v>37</v>
      </c>
      <c r="G397" t="s">
        <v>51</v>
      </c>
      <c r="H397" s="8" t="s">
        <v>40</v>
      </c>
      <c r="I397" s="9">
        <v>36914.33</v>
      </c>
      <c r="J397" s="9">
        <v>36216.33</v>
      </c>
      <c r="K397" s="8" t="s">
        <v>74</v>
      </c>
      <c r="L397" s="10">
        <v>0</v>
      </c>
      <c r="M397" s="8" t="s">
        <v>75</v>
      </c>
      <c r="N397" s="9">
        <v>0</v>
      </c>
      <c r="O397" s="8" t="s">
        <v>30</v>
      </c>
      <c r="P397" t="str">
        <f>TEXT(Table1[[#This Row],[Transaction_Date]],"mmm")</f>
        <v>Aug</v>
      </c>
      <c r="Q397" s="11">
        <v>45877</v>
      </c>
      <c r="R397" s="8" t="s">
        <v>1058</v>
      </c>
      <c r="S397" s="8" t="s">
        <v>54</v>
      </c>
      <c r="T397" s="9">
        <v>1232.98</v>
      </c>
      <c r="U397" t="s">
        <v>61</v>
      </c>
      <c r="V397" s="8" t="s">
        <v>46</v>
      </c>
      <c r="W397"/>
      <c r="X397"/>
    </row>
    <row r="398" spans="1:24" hidden="1" x14ac:dyDescent="0.3">
      <c r="A398" t="s">
        <v>1059</v>
      </c>
      <c r="B398" t="s">
        <v>774</v>
      </c>
      <c r="C398">
        <v>18</v>
      </c>
      <c r="D398" t="s">
        <v>57</v>
      </c>
      <c r="E398" t="s">
        <v>58</v>
      </c>
      <c r="F398" t="s">
        <v>57</v>
      </c>
      <c r="G398" t="s">
        <v>80</v>
      </c>
      <c r="H398" s="8" t="s">
        <v>27</v>
      </c>
      <c r="I398" s="9">
        <v>48535.22</v>
      </c>
      <c r="J398" s="9">
        <v>9936.42</v>
      </c>
      <c r="K398" s="8" t="s">
        <v>52</v>
      </c>
      <c r="L398" s="10">
        <v>61690.99</v>
      </c>
      <c r="M398" s="8" t="s">
        <v>42</v>
      </c>
      <c r="N398" s="9">
        <v>0</v>
      </c>
      <c r="O398" s="8" t="s">
        <v>30</v>
      </c>
      <c r="P398" t="str">
        <f>TEXT(Table1[[#This Row],[Transaction_Date]],"mmm")</f>
        <v>Jan</v>
      </c>
      <c r="Q398" s="11">
        <v>45664</v>
      </c>
      <c r="R398" s="8" t="s">
        <v>1060</v>
      </c>
      <c r="S398" s="8" t="s">
        <v>70</v>
      </c>
      <c r="T398" s="9">
        <v>1814.32</v>
      </c>
      <c r="U398" t="s">
        <v>33</v>
      </c>
      <c r="V398" s="8" t="s">
        <v>34</v>
      </c>
      <c r="W398"/>
      <c r="X398"/>
    </row>
    <row r="399" spans="1:24" hidden="1" x14ac:dyDescent="0.3">
      <c r="A399" t="s">
        <v>1061</v>
      </c>
      <c r="B399" t="s">
        <v>1062</v>
      </c>
      <c r="C399">
        <v>24</v>
      </c>
      <c r="D399" t="s">
        <v>97</v>
      </c>
      <c r="E399" t="s">
        <v>98</v>
      </c>
      <c r="F399" t="s">
        <v>97</v>
      </c>
      <c r="G399" t="s">
        <v>80</v>
      </c>
      <c r="H399" s="8" t="s">
        <v>67</v>
      </c>
      <c r="I399" s="9">
        <v>21947.17</v>
      </c>
      <c r="J399" s="9">
        <v>21124</v>
      </c>
      <c r="K399" s="8" t="s">
        <v>52</v>
      </c>
      <c r="L399" s="10">
        <v>25000</v>
      </c>
      <c r="M399" s="8" t="s">
        <v>42</v>
      </c>
      <c r="N399" s="9">
        <v>0</v>
      </c>
      <c r="O399" s="8" t="s">
        <v>30</v>
      </c>
      <c r="P399" t="str">
        <f>TEXT(Table1[[#This Row],[Transaction_Date]],"mmm")</f>
        <v>Mar</v>
      </c>
      <c r="Q399" s="11">
        <v>45740</v>
      </c>
      <c r="R399" s="8" t="s">
        <v>1063</v>
      </c>
      <c r="S399" s="8" t="s">
        <v>70</v>
      </c>
      <c r="T399" s="9">
        <v>3053.87</v>
      </c>
      <c r="U399" t="s">
        <v>45</v>
      </c>
      <c r="V399" s="8" t="s">
        <v>46</v>
      </c>
      <c r="W399"/>
      <c r="X399"/>
    </row>
    <row r="400" spans="1:24" hidden="1" x14ac:dyDescent="0.3">
      <c r="A400" t="s">
        <v>1064</v>
      </c>
      <c r="B400" t="s">
        <v>1065</v>
      </c>
      <c r="C400">
        <v>29</v>
      </c>
      <c r="D400" t="s">
        <v>37</v>
      </c>
      <c r="E400" t="s">
        <v>38</v>
      </c>
      <c r="F400" t="s">
        <v>37</v>
      </c>
      <c r="G400" t="s">
        <v>26</v>
      </c>
      <c r="H400" s="8" t="s">
        <v>27</v>
      </c>
      <c r="I400" s="9">
        <v>64842.67</v>
      </c>
      <c r="J400" s="9">
        <v>14122.63</v>
      </c>
      <c r="K400" s="8" t="s">
        <v>41</v>
      </c>
      <c r="L400" s="10">
        <v>41112.78</v>
      </c>
      <c r="M400" s="8" t="s">
        <v>29</v>
      </c>
      <c r="N400" s="9">
        <v>10878.52</v>
      </c>
      <c r="O400" s="8" t="s">
        <v>30</v>
      </c>
      <c r="P400" t="str">
        <f>TEXT(Table1[[#This Row],[Transaction_Date]],"mmm")</f>
        <v>Apr</v>
      </c>
      <c r="Q400" s="11">
        <v>45776</v>
      </c>
      <c r="R400" s="8" t="s">
        <v>1066</v>
      </c>
      <c r="S400" s="8" t="s">
        <v>44</v>
      </c>
      <c r="T400" s="9">
        <v>1260.08</v>
      </c>
      <c r="U400" t="s">
        <v>45</v>
      </c>
      <c r="V400" s="8" t="s">
        <v>62</v>
      </c>
      <c r="W400"/>
      <c r="X400"/>
    </row>
    <row r="401" spans="1:24" hidden="1" x14ac:dyDescent="0.3">
      <c r="A401" t="s">
        <v>1067</v>
      </c>
      <c r="B401" t="s">
        <v>1068</v>
      </c>
      <c r="C401">
        <v>33</v>
      </c>
      <c r="D401" t="s">
        <v>84</v>
      </c>
      <c r="E401" t="s">
        <v>85</v>
      </c>
      <c r="F401" t="s">
        <v>84</v>
      </c>
      <c r="G401" t="s">
        <v>80</v>
      </c>
      <c r="H401" s="8" t="s">
        <v>51</v>
      </c>
      <c r="I401" s="9">
        <v>12000</v>
      </c>
      <c r="J401" s="9">
        <v>114696.35</v>
      </c>
      <c r="K401" s="8" t="s">
        <v>74</v>
      </c>
      <c r="L401" s="10">
        <v>0</v>
      </c>
      <c r="M401" s="8" t="s">
        <v>75</v>
      </c>
      <c r="N401" s="9">
        <v>0</v>
      </c>
      <c r="O401" s="8" t="s">
        <v>30</v>
      </c>
      <c r="P401" t="str">
        <f>TEXT(Table1[[#This Row],[Transaction_Date]],"mmm")</f>
        <v>Dec</v>
      </c>
      <c r="Q401" s="11">
        <v>46014</v>
      </c>
      <c r="R401" s="8" t="s">
        <v>1069</v>
      </c>
      <c r="S401" s="8" t="s">
        <v>32</v>
      </c>
      <c r="T401" s="9">
        <v>2093.25</v>
      </c>
      <c r="U401" t="s">
        <v>45</v>
      </c>
      <c r="V401" s="8" t="s">
        <v>62</v>
      </c>
      <c r="W401"/>
      <c r="X401"/>
    </row>
    <row r="402" spans="1:24" x14ac:dyDescent="0.3">
      <c r="A402" t="s">
        <v>1070</v>
      </c>
      <c r="B402" t="s">
        <v>571</v>
      </c>
      <c r="C402">
        <v>52</v>
      </c>
      <c r="D402" t="s">
        <v>84</v>
      </c>
      <c r="E402" t="s">
        <v>85</v>
      </c>
      <c r="F402" t="s">
        <v>84</v>
      </c>
      <c r="G402" t="s">
        <v>39</v>
      </c>
      <c r="H402" s="8" t="s">
        <v>51</v>
      </c>
      <c r="I402" s="9">
        <v>51173.43</v>
      </c>
      <c r="J402" s="9">
        <v>65397.15</v>
      </c>
      <c r="K402" s="8" t="s">
        <v>74</v>
      </c>
      <c r="L402" s="10">
        <v>0</v>
      </c>
      <c r="M402" s="8" t="s">
        <v>75</v>
      </c>
      <c r="N402" s="9">
        <v>0</v>
      </c>
      <c r="O402" s="8" t="s">
        <v>30</v>
      </c>
      <c r="P402" t="str">
        <f>TEXT(Table1[[#This Row],[Transaction_Date]],"mmm")</f>
        <v>Aug</v>
      </c>
      <c r="Q402" s="11">
        <v>45893</v>
      </c>
      <c r="R402" s="8" t="s">
        <v>1071</v>
      </c>
      <c r="S402" s="8" t="s">
        <v>70</v>
      </c>
      <c r="T402" s="9">
        <v>1422.58</v>
      </c>
      <c r="U402" t="s">
        <v>71</v>
      </c>
      <c r="V402" s="8" t="s">
        <v>46</v>
      </c>
      <c r="W402"/>
      <c r="X402"/>
    </row>
    <row r="403" spans="1:24" hidden="1" x14ac:dyDescent="0.3">
      <c r="A403" t="s">
        <v>1072</v>
      </c>
      <c r="B403" t="s">
        <v>368</v>
      </c>
      <c r="C403">
        <v>21</v>
      </c>
      <c r="D403" t="s">
        <v>37</v>
      </c>
      <c r="E403" t="s">
        <v>38</v>
      </c>
      <c r="F403" t="s">
        <v>37</v>
      </c>
      <c r="G403" t="s">
        <v>80</v>
      </c>
      <c r="H403" s="8" t="s">
        <v>51</v>
      </c>
      <c r="I403" s="9">
        <v>51180.160000000003</v>
      </c>
      <c r="J403" s="9">
        <v>9936.86</v>
      </c>
      <c r="K403" s="8" t="s">
        <v>28</v>
      </c>
      <c r="L403" s="10">
        <v>63786.14</v>
      </c>
      <c r="M403" s="8" t="s">
        <v>29</v>
      </c>
      <c r="N403" s="9">
        <v>27250.01</v>
      </c>
      <c r="O403" s="8" t="s">
        <v>30</v>
      </c>
      <c r="P403" t="str">
        <f>TEXT(Table1[[#This Row],[Transaction_Date]],"mmm")</f>
        <v>Aug</v>
      </c>
      <c r="Q403" s="11">
        <v>45899</v>
      </c>
      <c r="R403" s="8" t="s">
        <v>1073</v>
      </c>
      <c r="S403" s="8" t="s">
        <v>32</v>
      </c>
      <c r="T403" s="9">
        <v>810.36</v>
      </c>
      <c r="U403" t="s">
        <v>77</v>
      </c>
      <c r="V403" s="8" t="s">
        <v>62</v>
      </c>
      <c r="W403"/>
      <c r="X403"/>
    </row>
    <row r="404" spans="1:24" x14ac:dyDescent="0.3">
      <c r="A404" t="s">
        <v>1074</v>
      </c>
      <c r="B404" t="s">
        <v>760</v>
      </c>
      <c r="C404">
        <v>30</v>
      </c>
      <c r="D404" t="s">
        <v>37</v>
      </c>
      <c r="E404" t="s">
        <v>38</v>
      </c>
      <c r="F404" t="s">
        <v>37</v>
      </c>
      <c r="G404" t="s">
        <v>39</v>
      </c>
      <c r="H404" s="8" t="s">
        <v>27</v>
      </c>
      <c r="I404" s="9">
        <v>56047.66</v>
      </c>
      <c r="J404" s="9">
        <v>20159.5</v>
      </c>
      <c r="K404" s="8" t="s">
        <v>74</v>
      </c>
      <c r="L404" s="10">
        <v>0</v>
      </c>
      <c r="M404" s="8" t="s">
        <v>75</v>
      </c>
      <c r="N404" s="9">
        <v>0</v>
      </c>
      <c r="O404" s="8" t="s">
        <v>30</v>
      </c>
      <c r="P404" t="str">
        <f>TEXT(Table1[[#This Row],[Transaction_Date]],"mmm")</f>
        <v>Oct</v>
      </c>
      <c r="Q404" s="11">
        <v>45959</v>
      </c>
      <c r="R404" s="8" t="s">
        <v>1075</v>
      </c>
      <c r="S404" s="8" t="s">
        <v>44</v>
      </c>
      <c r="T404" s="9">
        <v>2255.2600000000002</v>
      </c>
      <c r="U404" t="s">
        <v>71</v>
      </c>
      <c r="V404" s="8" t="s">
        <v>62</v>
      </c>
      <c r="W404"/>
      <c r="X404"/>
    </row>
    <row r="405" spans="1:24" hidden="1" x14ac:dyDescent="0.3">
      <c r="A405" t="s">
        <v>1076</v>
      </c>
      <c r="B405" t="s">
        <v>553</v>
      </c>
      <c r="C405">
        <v>54</v>
      </c>
      <c r="D405" t="s">
        <v>49</v>
      </c>
      <c r="E405" t="s">
        <v>50</v>
      </c>
      <c r="F405" t="s">
        <v>49</v>
      </c>
      <c r="G405" t="s">
        <v>26</v>
      </c>
      <c r="H405" s="8" t="s">
        <v>40</v>
      </c>
      <c r="I405" s="9">
        <v>30567.759999999998</v>
      </c>
      <c r="J405" s="9">
        <v>26706.43</v>
      </c>
      <c r="K405" s="8" t="s">
        <v>74</v>
      </c>
      <c r="L405" s="10">
        <v>0</v>
      </c>
      <c r="M405" s="8" t="s">
        <v>75</v>
      </c>
      <c r="N405" s="9">
        <v>0</v>
      </c>
      <c r="O405" s="8" t="s">
        <v>30</v>
      </c>
      <c r="P405" t="str">
        <f>TEXT(Table1[[#This Row],[Transaction_Date]],"mmm")</f>
        <v>Apr</v>
      </c>
      <c r="Q405" s="11">
        <v>45770</v>
      </c>
      <c r="R405" s="8" t="s">
        <v>1077</v>
      </c>
      <c r="S405" s="8" t="s">
        <v>70</v>
      </c>
      <c r="T405" s="9">
        <v>819.23</v>
      </c>
      <c r="U405" t="s">
        <v>106</v>
      </c>
      <c r="V405" s="8" t="s">
        <v>62</v>
      </c>
      <c r="W405"/>
      <c r="X405"/>
    </row>
    <row r="406" spans="1:24" x14ac:dyDescent="0.3">
      <c r="A406" t="s">
        <v>1078</v>
      </c>
      <c r="B406" t="s">
        <v>221</v>
      </c>
      <c r="C406">
        <v>74</v>
      </c>
      <c r="D406" t="s">
        <v>92</v>
      </c>
      <c r="E406" t="s">
        <v>93</v>
      </c>
      <c r="F406" t="s">
        <v>92</v>
      </c>
      <c r="G406" t="s">
        <v>39</v>
      </c>
      <c r="H406" s="8" t="s">
        <v>40</v>
      </c>
      <c r="I406" s="9">
        <v>80049.58</v>
      </c>
      <c r="J406" s="9">
        <v>40186.080000000002</v>
      </c>
      <c r="K406" s="8" t="s">
        <v>74</v>
      </c>
      <c r="L406" s="10">
        <v>0</v>
      </c>
      <c r="M406" s="8" t="s">
        <v>75</v>
      </c>
      <c r="N406" s="9">
        <v>0</v>
      </c>
      <c r="O406" s="8" t="s">
        <v>30</v>
      </c>
      <c r="P406" t="str">
        <f>TEXT(Table1[[#This Row],[Transaction_Date]],"mmm")</f>
        <v>Jun</v>
      </c>
      <c r="Q406" s="11">
        <v>45834</v>
      </c>
      <c r="R406" s="8" t="s">
        <v>1079</v>
      </c>
      <c r="S406" s="8" t="s">
        <v>54</v>
      </c>
      <c r="T406" s="9">
        <v>1320.13</v>
      </c>
      <c r="U406" t="s">
        <v>71</v>
      </c>
      <c r="V406" s="8" t="s">
        <v>46</v>
      </c>
      <c r="W406"/>
      <c r="X406"/>
    </row>
    <row r="407" spans="1:24" x14ac:dyDescent="0.3">
      <c r="A407" t="s">
        <v>1080</v>
      </c>
      <c r="B407" t="s">
        <v>356</v>
      </c>
      <c r="C407">
        <v>47</v>
      </c>
      <c r="D407" t="s">
        <v>49</v>
      </c>
      <c r="E407" t="s">
        <v>50</v>
      </c>
      <c r="F407" t="s">
        <v>49</v>
      </c>
      <c r="G407" t="s">
        <v>39</v>
      </c>
      <c r="H407" s="8" t="s">
        <v>40</v>
      </c>
      <c r="I407" s="9">
        <v>38965.89</v>
      </c>
      <c r="J407" s="9">
        <v>12351.68</v>
      </c>
      <c r="K407" s="8" t="s">
        <v>74</v>
      </c>
      <c r="L407" s="10">
        <v>0</v>
      </c>
      <c r="M407" s="8" t="s">
        <v>75</v>
      </c>
      <c r="N407" s="9">
        <v>0</v>
      </c>
      <c r="O407" s="8" t="s">
        <v>30</v>
      </c>
      <c r="P407" t="str">
        <f>TEXT(Table1[[#This Row],[Transaction_Date]],"mmm")</f>
        <v>Jun</v>
      </c>
      <c r="Q407" s="11">
        <v>45837</v>
      </c>
      <c r="R407" s="8" t="s">
        <v>1081</v>
      </c>
      <c r="S407" s="8" t="s">
        <v>70</v>
      </c>
      <c r="T407" s="9">
        <v>4041.12</v>
      </c>
      <c r="U407" t="s">
        <v>71</v>
      </c>
      <c r="V407" s="8" t="s">
        <v>62</v>
      </c>
      <c r="W407"/>
      <c r="X407"/>
    </row>
    <row r="408" spans="1:24" hidden="1" x14ac:dyDescent="0.3">
      <c r="A408" t="s">
        <v>1082</v>
      </c>
      <c r="B408" t="s">
        <v>1083</v>
      </c>
      <c r="C408">
        <v>35</v>
      </c>
      <c r="D408" t="s">
        <v>65</v>
      </c>
      <c r="E408" t="s">
        <v>66</v>
      </c>
      <c r="F408" t="s">
        <v>65</v>
      </c>
      <c r="G408" t="s">
        <v>26</v>
      </c>
      <c r="H408" s="8" t="s">
        <v>67</v>
      </c>
      <c r="I408" s="9">
        <v>31135.63</v>
      </c>
      <c r="J408" s="9">
        <v>18744.77</v>
      </c>
      <c r="K408" s="8" t="s">
        <v>74</v>
      </c>
      <c r="L408" s="10">
        <v>0</v>
      </c>
      <c r="M408" s="8" t="s">
        <v>75</v>
      </c>
      <c r="N408" s="9">
        <v>0</v>
      </c>
      <c r="O408" s="8" t="s">
        <v>30</v>
      </c>
      <c r="P408" t="str">
        <f>TEXT(Table1[[#This Row],[Transaction_Date]],"mmm")</f>
        <v>Mar</v>
      </c>
      <c r="Q408" s="11">
        <v>45719</v>
      </c>
      <c r="R408" s="8" t="s">
        <v>1084</v>
      </c>
      <c r="S408" s="8" t="s">
        <v>32</v>
      </c>
      <c r="T408" s="9">
        <v>1229.9100000000001</v>
      </c>
      <c r="U408" t="s">
        <v>77</v>
      </c>
      <c r="V408" s="8" t="s">
        <v>62</v>
      </c>
      <c r="W408"/>
      <c r="X408"/>
    </row>
    <row r="409" spans="1:24" x14ac:dyDescent="0.3">
      <c r="A409" t="s">
        <v>1085</v>
      </c>
      <c r="B409" t="s">
        <v>157</v>
      </c>
      <c r="C409">
        <v>39</v>
      </c>
      <c r="D409" t="s">
        <v>84</v>
      </c>
      <c r="E409" t="s">
        <v>85</v>
      </c>
      <c r="F409" t="s">
        <v>84</v>
      </c>
      <c r="G409" t="s">
        <v>39</v>
      </c>
      <c r="H409" s="8" t="s">
        <v>40</v>
      </c>
      <c r="I409" s="9">
        <v>25006.16</v>
      </c>
      <c r="J409" s="9">
        <v>33473.78</v>
      </c>
      <c r="K409" s="8" t="s">
        <v>52</v>
      </c>
      <c r="L409" s="10">
        <v>103198.39999999999</v>
      </c>
      <c r="M409" s="8" t="s">
        <v>42</v>
      </c>
      <c r="N409" s="9">
        <v>0</v>
      </c>
      <c r="O409" s="8" t="s">
        <v>30</v>
      </c>
      <c r="P409" t="str">
        <f>TEXT(Table1[[#This Row],[Transaction_Date]],"mmm")</f>
        <v>May</v>
      </c>
      <c r="Q409" s="11">
        <v>45800</v>
      </c>
      <c r="R409" s="8" t="s">
        <v>1086</v>
      </c>
      <c r="S409" s="8" t="s">
        <v>54</v>
      </c>
      <c r="T409" s="9">
        <v>15131.72</v>
      </c>
      <c r="U409" t="s">
        <v>77</v>
      </c>
      <c r="V409" s="8" t="s">
        <v>34</v>
      </c>
      <c r="W409"/>
      <c r="X409"/>
    </row>
    <row r="410" spans="1:24" x14ac:dyDescent="0.3">
      <c r="A410" t="s">
        <v>1087</v>
      </c>
      <c r="B410" t="s">
        <v>390</v>
      </c>
      <c r="C410">
        <v>38</v>
      </c>
      <c r="D410" t="s">
        <v>65</v>
      </c>
      <c r="E410" t="s">
        <v>66</v>
      </c>
      <c r="F410" t="s">
        <v>65</v>
      </c>
      <c r="G410" t="s">
        <v>39</v>
      </c>
      <c r="H410" s="8" t="s">
        <v>40</v>
      </c>
      <c r="I410" s="9">
        <v>84972.84</v>
      </c>
      <c r="J410" s="9">
        <v>56075.21</v>
      </c>
      <c r="K410" s="8" t="s">
        <v>41</v>
      </c>
      <c r="L410" s="10">
        <v>75544.45</v>
      </c>
      <c r="M410" s="8" t="s">
        <v>29</v>
      </c>
      <c r="N410" s="9">
        <v>71304.429999999993</v>
      </c>
      <c r="O410" s="8" t="s">
        <v>30</v>
      </c>
      <c r="P410" t="str">
        <f>TEXT(Table1[[#This Row],[Transaction_Date]],"mmm")</f>
        <v>Apr</v>
      </c>
      <c r="Q410" s="11">
        <v>45776</v>
      </c>
      <c r="R410" s="8" t="s">
        <v>1088</v>
      </c>
      <c r="S410" s="8" t="s">
        <v>70</v>
      </c>
      <c r="T410" s="9">
        <v>5023.3100000000004</v>
      </c>
      <c r="U410" t="s">
        <v>71</v>
      </c>
      <c r="V410" s="8" t="s">
        <v>62</v>
      </c>
      <c r="W410"/>
      <c r="X410"/>
    </row>
    <row r="411" spans="1:24" hidden="1" x14ac:dyDescent="0.3">
      <c r="A411" t="s">
        <v>1089</v>
      </c>
      <c r="B411" t="s">
        <v>706</v>
      </c>
      <c r="C411">
        <v>26</v>
      </c>
      <c r="D411" t="s">
        <v>37</v>
      </c>
      <c r="E411" t="s">
        <v>38</v>
      </c>
      <c r="F411" t="s">
        <v>37</v>
      </c>
      <c r="G411" t="s">
        <v>26</v>
      </c>
      <c r="H411" s="8" t="s">
        <v>40</v>
      </c>
      <c r="I411" s="9">
        <v>79680.95</v>
      </c>
      <c r="J411" s="9">
        <v>32443.74</v>
      </c>
      <c r="K411" s="8" t="s">
        <v>68</v>
      </c>
      <c r="L411" s="10">
        <v>52051.6</v>
      </c>
      <c r="M411" s="8" t="s">
        <v>29</v>
      </c>
      <c r="N411" s="9">
        <v>44859.68</v>
      </c>
      <c r="O411" s="8" t="s">
        <v>30</v>
      </c>
      <c r="P411" t="str">
        <f>TEXT(Table1[[#This Row],[Transaction_Date]],"mmm")</f>
        <v>Jan</v>
      </c>
      <c r="Q411" s="11">
        <v>45677</v>
      </c>
      <c r="R411" s="8" t="s">
        <v>1090</v>
      </c>
      <c r="S411" s="8" t="s">
        <v>32</v>
      </c>
      <c r="T411" s="9">
        <v>2810.53</v>
      </c>
      <c r="U411" t="s">
        <v>106</v>
      </c>
      <c r="V411" s="8" t="s">
        <v>46</v>
      </c>
      <c r="W411"/>
      <c r="X411"/>
    </row>
    <row r="412" spans="1:24" hidden="1" x14ac:dyDescent="0.3">
      <c r="A412" t="s">
        <v>1091</v>
      </c>
      <c r="B412" t="s">
        <v>737</v>
      </c>
      <c r="C412">
        <v>63</v>
      </c>
      <c r="D412" t="s">
        <v>24</v>
      </c>
      <c r="E412" t="s">
        <v>25</v>
      </c>
      <c r="F412" t="s">
        <v>24</v>
      </c>
      <c r="G412" t="s">
        <v>80</v>
      </c>
      <c r="H412" s="8" t="s">
        <v>40</v>
      </c>
      <c r="I412" s="9">
        <v>78032.06</v>
      </c>
      <c r="J412" s="9">
        <v>19069.57</v>
      </c>
      <c r="K412" s="8" t="s">
        <v>28</v>
      </c>
      <c r="L412" s="10">
        <v>46563.25</v>
      </c>
      <c r="M412" s="8" t="s">
        <v>29</v>
      </c>
      <c r="N412" s="9">
        <v>41281.22</v>
      </c>
      <c r="O412" s="8" t="s">
        <v>30</v>
      </c>
      <c r="P412" t="str">
        <f>TEXT(Table1[[#This Row],[Transaction_Date]],"mmm")</f>
        <v>Aug</v>
      </c>
      <c r="Q412" s="11">
        <v>45881</v>
      </c>
      <c r="R412" s="8" t="s">
        <v>1092</v>
      </c>
      <c r="S412" s="8" t="s">
        <v>54</v>
      </c>
      <c r="T412" s="9">
        <v>1091.6099999999999</v>
      </c>
      <c r="U412" t="s">
        <v>71</v>
      </c>
      <c r="V412" s="8" t="s">
        <v>62</v>
      </c>
      <c r="W412"/>
      <c r="X412"/>
    </row>
    <row r="413" spans="1:24" hidden="1" x14ac:dyDescent="0.3">
      <c r="A413" t="s">
        <v>1093</v>
      </c>
      <c r="B413" t="s">
        <v>215</v>
      </c>
      <c r="C413">
        <v>49</v>
      </c>
      <c r="D413" t="s">
        <v>97</v>
      </c>
      <c r="E413" t="s">
        <v>98</v>
      </c>
      <c r="F413" t="s">
        <v>97</v>
      </c>
      <c r="G413" t="s">
        <v>80</v>
      </c>
      <c r="H413" s="8" t="s">
        <v>40</v>
      </c>
      <c r="I413" s="9">
        <v>68409.570000000007</v>
      </c>
      <c r="J413" s="9">
        <v>5950.62</v>
      </c>
      <c r="K413" s="8" t="s">
        <v>74</v>
      </c>
      <c r="L413" s="10">
        <v>0</v>
      </c>
      <c r="M413" s="8" t="s">
        <v>75</v>
      </c>
      <c r="N413" s="9">
        <v>0</v>
      </c>
      <c r="O413" s="8" t="s">
        <v>30</v>
      </c>
      <c r="P413" t="str">
        <f>TEXT(Table1[[#This Row],[Transaction_Date]],"mmm")</f>
        <v>Mar</v>
      </c>
      <c r="Q413" s="11">
        <v>45743</v>
      </c>
      <c r="R413" s="8" t="s">
        <v>1094</v>
      </c>
      <c r="S413" s="8" t="s">
        <v>70</v>
      </c>
      <c r="T413" s="9">
        <v>629.30999999999995</v>
      </c>
      <c r="U413" t="s">
        <v>77</v>
      </c>
      <c r="V413" s="8" t="s">
        <v>62</v>
      </c>
      <c r="W413"/>
      <c r="X413"/>
    </row>
    <row r="414" spans="1:24" x14ac:dyDescent="0.3">
      <c r="A414" t="s">
        <v>1095</v>
      </c>
      <c r="B414" t="s">
        <v>1096</v>
      </c>
      <c r="C414">
        <v>40</v>
      </c>
      <c r="D414" t="s">
        <v>92</v>
      </c>
      <c r="E414" t="s">
        <v>93</v>
      </c>
      <c r="F414" t="s">
        <v>92</v>
      </c>
      <c r="G414" t="s">
        <v>39</v>
      </c>
      <c r="H414" s="8" t="s">
        <v>51</v>
      </c>
      <c r="I414" s="9">
        <v>16863.669999999998</v>
      </c>
      <c r="J414" s="9">
        <v>14064.16</v>
      </c>
      <c r="K414" s="8" t="s">
        <v>59</v>
      </c>
      <c r="L414" s="10">
        <v>70694.28</v>
      </c>
      <c r="M414" s="8" t="s">
        <v>29</v>
      </c>
      <c r="N414" s="9">
        <v>52464.3</v>
      </c>
      <c r="O414" s="8" t="s">
        <v>30</v>
      </c>
      <c r="P414" t="str">
        <f>TEXT(Table1[[#This Row],[Transaction_Date]],"mmm")</f>
        <v>Feb</v>
      </c>
      <c r="Q414" s="11">
        <v>45696</v>
      </c>
      <c r="R414" s="8" t="s">
        <v>1097</v>
      </c>
      <c r="S414" s="8" t="s">
        <v>54</v>
      </c>
      <c r="T414" s="9">
        <v>755.02</v>
      </c>
      <c r="U414" t="s">
        <v>33</v>
      </c>
      <c r="V414" s="8" t="s">
        <v>62</v>
      </c>
      <c r="W414"/>
      <c r="X414"/>
    </row>
    <row r="415" spans="1:24" x14ac:dyDescent="0.3">
      <c r="A415" t="s">
        <v>1098</v>
      </c>
      <c r="B415" t="s">
        <v>626</v>
      </c>
      <c r="C415">
        <v>31</v>
      </c>
      <c r="D415" t="s">
        <v>57</v>
      </c>
      <c r="E415" t="s">
        <v>58</v>
      </c>
      <c r="F415" t="s">
        <v>57</v>
      </c>
      <c r="G415" t="s">
        <v>39</v>
      </c>
      <c r="H415" s="8" t="s">
        <v>40</v>
      </c>
      <c r="I415" s="9">
        <v>49495.37</v>
      </c>
      <c r="J415" s="9">
        <v>26935.8</v>
      </c>
      <c r="K415" s="8" t="s">
        <v>41</v>
      </c>
      <c r="L415" s="10">
        <v>104118.47</v>
      </c>
      <c r="M415" s="8" t="s">
        <v>42</v>
      </c>
      <c r="N415" s="9">
        <v>0</v>
      </c>
      <c r="O415" s="8" t="s">
        <v>30</v>
      </c>
      <c r="P415" t="str">
        <f>TEXT(Table1[[#This Row],[Transaction_Date]],"mmm")</f>
        <v>May</v>
      </c>
      <c r="Q415" s="11">
        <v>45785</v>
      </c>
      <c r="R415" s="8" t="s">
        <v>1099</v>
      </c>
      <c r="S415" s="8" t="s">
        <v>70</v>
      </c>
      <c r="T415" s="9">
        <v>1018.5</v>
      </c>
      <c r="U415" t="s">
        <v>33</v>
      </c>
      <c r="V415" s="8" t="s">
        <v>62</v>
      </c>
      <c r="W415"/>
      <c r="X415"/>
    </row>
    <row r="416" spans="1:24" hidden="1" x14ac:dyDescent="0.3">
      <c r="A416" t="s">
        <v>1100</v>
      </c>
      <c r="B416" t="s">
        <v>179</v>
      </c>
      <c r="C416">
        <v>28</v>
      </c>
      <c r="D416" t="s">
        <v>24</v>
      </c>
      <c r="E416" t="s">
        <v>25</v>
      </c>
      <c r="F416" t="s">
        <v>24</v>
      </c>
      <c r="G416" t="s">
        <v>80</v>
      </c>
      <c r="H416" s="8" t="s">
        <v>67</v>
      </c>
      <c r="I416" s="9">
        <v>52913.74</v>
      </c>
      <c r="J416" s="9">
        <v>25705.439999999999</v>
      </c>
      <c r="K416" s="8" t="s">
        <v>68</v>
      </c>
      <c r="L416" s="10">
        <v>49960.75</v>
      </c>
      <c r="M416" s="8" t="s">
        <v>29</v>
      </c>
      <c r="N416" s="9">
        <v>34346.22</v>
      </c>
      <c r="O416" s="8" t="s">
        <v>30</v>
      </c>
      <c r="P416" t="str">
        <f>TEXT(Table1[[#This Row],[Transaction_Date]],"mmm")</f>
        <v>May</v>
      </c>
      <c r="Q416" s="11">
        <v>45802</v>
      </c>
      <c r="R416" s="8" t="s">
        <v>1101</v>
      </c>
      <c r="S416" s="8" t="s">
        <v>54</v>
      </c>
      <c r="T416" s="9">
        <v>1426.22</v>
      </c>
      <c r="U416" t="s">
        <v>33</v>
      </c>
      <c r="V416" s="8" t="s">
        <v>46</v>
      </c>
      <c r="W416"/>
      <c r="X416"/>
    </row>
    <row r="417" spans="1:24" x14ac:dyDescent="0.3">
      <c r="A417" t="s">
        <v>1102</v>
      </c>
      <c r="B417" t="s">
        <v>149</v>
      </c>
      <c r="C417">
        <v>38</v>
      </c>
      <c r="D417" t="s">
        <v>57</v>
      </c>
      <c r="E417" t="s">
        <v>58</v>
      </c>
      <c r="F417" t="s">
        <v>57</v>
      </c>
      <c r="G417" t="s">
        <v>39</v>
      </c>
      <c r="H417" s="8" t="s">
        <v>51</v>
      </c>
      <c r="I417" s="9">
        <v>16423.189999999999</v>
      </c>
      <c r="J417" s="9">
        <v>23247.59</v>
      </c>
      <c r="K417" s="8" t="s">
        <v>59</v>
      </c>
      <c r="L417" s="10">
        <v>47311.26</v>
      </c>
      <c r="M417" s="8" t="s">
        <v>29</v>
      </c>
      <c r="N417" s="9">
        <v>11797</v>
      </c>
      <c r="O417" s="8" t="s">
        <v>30</v>
      </c>
      <c r="P417" t="str">
        <f>TEXT(Table1[[#This Row],[Transaction_Date]],"mmm")</f>
        <v>Nov</v>
      </c>
      <c r="Q417" s="11">
        <v>45968</v>
      </c>
      <c r="R417" s="8" t="s">
        <v>1103</v>
      </c>
      <c r="S417" s="8" t="s">
        <v>54</v>
      </c>
      <c r="T417" s="9">
        <v>5714.98</v>
      </c>
      <c r="U417" t="s">
        <v>61</v>
      </c>
      <c r="V417" s="8" t="s">
        <v>62</v>
      </c>
      <c r="W417"/>
      <c r="X417"/>
    </row>
    <row r="418" spans="1:24" hidden="1" x14ac:dyDescent="0.3">
      <c r="A418" t="s">
        <v>1104</v>
      </c>
      <c r="B418" t="s">
        <v>659</v>
      </c>
      <c r="C418">
        <v>34</v>
      </c>
      <c r="D418" t="s">
        <v>57</v>
      </c>
      <c r="E418" t="s">
        <v>58</v>
      </c>
      <c r="F418" t="s">
        <v>57</v>
      </c>
      <c r="G418" t="s">
        <v>80</v>
      </c>
      <c r="H418" s="8" t="s">
        <v>40</v>
      </c>
      <c r="I418" s="9">
        <v>56986.97</v>
      </c>
      <c r="J418" s="9">
        <v>23024.02</v>
      </c>
      <c r="K418" s="8" t="s">
        <v>41</v>
      </c>
      <c r="L418" s="10">
        <v>49097.42</v>
      </c>
      <c r="M418" s="8" t="s">
        <v>29</v>
      </c>
      <c r="N418" s="9">
        <v>30426.29</v>
      </c>
      <c r="O418" s="8" t="s">
        <v>30</v>
      </c>
      <c r="P418" t="str">
        <f>TEXT(Table1[[#This Row],[Transaction_Date]],"mmm")</f>
        <v>Mar</v>
      </c>
      <c r="Q418" s="11">
        <v>45740</v>
      </c>
      <c r="R418" s="8" t="s">
        <v>1105</v>
      </c>
      <c r="S418" s="8" t="s">
        <v>70</v>
      </c>
      <c r="T418" s="9">
        <v>4414.43</v>
      </c>
      <c r="U418" t="s">
        <v>77</v>
      </c>
      <c r="V418" s="8" t="s">
        <v>62</v>
      </c>
      <c r="W418"/>
      <c r="X418"/>
    </row>
    <row r="419" spans="1:24" hidden="1" x14ac:dyDescent="0.3">
      <c r="A419" t="s">
        <v>1106</v>
      </c>
      <c r="B419" t="s">
        <v>243</v>
      </c>
      <c r="C419">
        <v>43</v>
      </c>
      <c r="D419" t="s">
        <v>65</v>
      </c>
      <c r="E419" t="s">
        <v>66</v>
      </c>
      <c r="F419" t="s">
        <v>65</v>
      </c>
      <c r="G419" t="s">
        <v>26</v>
      </c>
      <c r="H419" s="8" t="s">
        <v>27</v>
      </c>
      <c r="I419" s="9">
        <v>78276.490000000005</v>
      </c>
      <c r="J419" s="9">
        <v>17328.03</v>
      </c>
      <c r="K419" s="8" t="s">
        <v>74</v>
      </c>
      <c r="L419" s="10">
        <v>0</v>
      </c>
      <c r="M419" s="8" t="s">
        <v>75</v>
      </c>
      <c r="N419" s="9">
        <v>0</v>
      </c>
      <c r="O419" s="8" t="s">
        <v>30</v>
      </c>
      <c r="P419" t="str">
        <f>TEXT(Table1[[#This Row],[Transaction_Date]],"mmm")</f>
        <v>Mar</v>
      </c>
      <c r="Q419" s="11">
        <v>45734</v>
      </c>
      <c r="R419" s="8" t="s">
        <v>1107</v>
      </c>
      <c r="S419" s="8" t="s">
        <v>32</v>
      </c>
      <c r="T419" s="9">
        <v>1371.05</v>
      </c>
      <c r="U419" t="s">
        <v>77</v>
      </c>
      <c r="V419" s="8" t="s">
        <v>62</v>
      </c>
      <c r="W419"/>
      <c r="X419"/>
    </row>
    <row r="420" spans="1:24" hidden="1" x14ac:dyDescent="0.3">
      <c r="A420" t="s">
        <v>1108</v>
      </c>
      <c r="B420" t="s">
        <v>325</v>
      </c>
      <c r="C420">
        <v>34</v>
      </c>
      <c r="D420" t="s">
        <v>24</v>
      </c>
      <c r="E420" t="s">
        <v>25</v>
      </c>
      <c r="F420" t="s">
        <v>24</v>
      </c>
      <c r="G420" t="s">
        <v>51</v>
      </c>
      <c r="H420" s="8" t="s">
        <v>51</v>
      </c>
      <c r="I420" s="9">
        <v>56848.86</v>
      </c>
      <c r="J420" s="9">
        <v>31456.01</v>
      </c>
      <c r="K420" s="8" t="s">
        <v>74</v>
      </c>
      <c r="L420" s="10">
        <v>0</v>
      </c>
      <c r="M420" s="8" t="s">
        <v>75</v>
      </c>
      <c r="N420" s="9">
        <v>0</v>
      </c>
      <c r="O420" s="8" t="s">
        <v>30</v>
      </c>
      <c r="P420" t="str">
        <f>TEXT(Table1[[#This Row],[Transaction_Date]],"mmm")</f>
        <v>Nov</v>
      </c>
      <c r="Q420" s="11">
        <v>45970</v>
      </c>
      <c r="R420" s="8" t="s">
        <v>1109</v>
      </c>
      <c r="S420" s="8" t="s">
        <v>32</v>
      </c>
      <c r="T420" s="9">
        <v>2006.38</v>
      </c>
      <c r="U420" t="s">
        <v>45</v>
      </c>
      <c r="V420" s="8" t="s">
        <v>34</v>
      </c>
      <c r="W420"/>
      <c r="X420"/>
    </row>
    <row r="421" spans="1:24" x14ac:dyDescent="0.3">
      <c r="A421" t="s">
        <v>1110</v>
      </c>
      <c r="B421" t="s">
        <v>921</v>
      </c>
      <c r="C421">
        <v>18</v>
      </c>
      <c r="D421" t="s">
        <v>84</v>
      </c>
      <c r="E421" t="s">
        <v>85</v>
      </c>
      <c r="F421" t="s">
        <v>84</v>
      </c>
      <c r="G421" t="s">
        <v>39</v>
      </c>
      <c r="H421" s="8" t="s">
        <v>40</v>
      </c>
      <c r="I421" s="9">
        <v>51725.35</v>
      </c>
      <c r="J421" s="9">
        <v>5422</v>
      </c>
      <c r="K421" s="8" t="s">
        <v>68</v>
      </c>
      <c r="L421" s="10">
        <v>83272.14</v>
      </c>
      <c r="M421" s="8" t="s">
        <v>29</v>
      </c>
      <c r="N421" s="9">
        <v>34342.620000000003</v>
      </c>
      <c r="O421" s="8" t="s">
        <v>228</v>
      </c>
      <c r="P421" t="str">
        <f>TEXT(Table1[[#This Row],[Transaction_Date]],"mmm")</f>
        <v>May</v>
      </c>
      <c r="Q421" s="11">
        <v>45802</v>
      </c>
      <c r="R421" s="8" t="s">
        <v>1111</v>
      </c>
      <c r="S421" s="8" t="s">
        <v>44</v>
      </c>
      <c r="T421" s="9">
        <v>466.02</v>
      </c>
      <c r="U421" t="s">
        <v>106</v>
      </c>
      <c r="V421" s="8" t="s">
        <v>46</v>
      </c>
      <c r="W421"/>
      <c r="X421"/>
    </row>
    <row r="422" spans="1:24" hidden="1" x14ac:dyDescent="0.3">
      <c r="A422" t="s">
        <v>1112</v>
      </c>
      <c r="B422" t="s">
        <v>1113</v>
      </c>
      <c r="C422">
        <v>43</v>
      </c>
      <c r="D422" t="s">
        <v>24</v>
      </c>
      <c r="E422" t="s">
        <v>25</v>
      </c>
      <c r="F422" t="s">
        <v>24</v>
      </c>
      <c r="G422" t="s">
        <v>26</v>
      </c>
      <c r="H422" s="8" t="s">
        <v>40</v>
      </c>
      <c r="I422" s="9">
        <v>52252.49</v>
      </c>
      <c r="J422" s="9">
        <v>16613.66</v>
      </c>
      <c r="K422" s="8" t="s">
        <v>28</v>
      </c>
      <c r="L422" s="10">
        <v>60583.23</v>
      </c>
      <c r="M422" s="8" t="s">
        <v>29</v>
      </c>
      <c r="N422" s="9">
        <v>52158.74</v>
      </c>
      <c r="O422" s="8" t="s">
        <v>30</v>
      </c>
      <c r="P422" t="str">
        <f>TEXT(Table1[[#This Row],[Transaction_Date]],"mmm")</f>
        <v>May</v>
      </c>
      <c r="Q422" s="11">
        <v>45801</v>
      </c>
      <c r="R422" s="8" t="s">
        <v>1114</v>
      </c>
      <c r="S422" s="8" t="s">
        <v>32</v>
      </c>
      <c r="T422" s="9">
        <v>1774.11</v>
      </c>
      <c r="U422" t="s">
        <v>45</v>
      </c>
      <c r="V422" s="8" t="s">
        <v>62</v>
      </c>
      <c r="W422"/>
      <c r="X422"/>
    </row>
    <row r="423" spans="1:24" hidden="1" x14ac:dyDescent="0.3">
      <c r="A423" t="s">
        <v>1115</v>
      </c>
      <c r="B423" t="s">
        <v>1116</v>
      </c>
      <c r="C423">
        <v>31</v>
      </c>
      <c r="D423" t="s">
        <v>57</v>
      </c>
      <c r="E423" t="s">
        <v>58</v>
      </c>
      <c r="F423" t="s">
        <v>57</v>
      </c>
      <c r="G423" t="s">
        <v>51</v>
      </c>
      <c r="H423" s="8" t="s">
        <v>51</v>
      </c>
      <c r="I423" s="9">
        <v>93085.73</v>
      </c>
      <c r="J423" s="9">
        <v>11679.83</v>
      </c>
      <c r="K423" s="8" t="s">
        <v>59</v>
      </c>
      <c r="L423" s="10">
        <v>37176.89</v>
      </c>
      <c r="M423" s="8" t="s">
        <v>29</v>
      </c>
      <c r="N423" s="9">
        <v>29477.01</v>
      </c>
      <c r="O423" s="8" t="s">
        <v>30</v>
      </c>
      <c r="P423" t="str">
        <f>TEXT(Table1[[#This Row],[Transaction_Date]],"mmm")</f>
        <v>Jun</v>
      </c>
      <c r="Q423" s="11">
        <v>45809</v>
      </c>
      <c r="R423" s="8" t="s">
        <v>1117</v>
      </c>
      <c r="S423" s="8" t="s">
        <v>70</v>
      </c>
      <c r="T423" s="9">
        <v>2860.37</v>
      </c>
      <c r="U423" t="s">
        <v>106</v>
      </c>
      <c r="V423" s="8" t="s">
        <v>62</v>
      </c>
      <c r="W423"/>
      <c r="X423"/>
    </row>
    <row r="424" spans="1:24" hidden="1" x14ac:dyDescent="0.3">
      <c r="A424" t="s">
        <v>1118</v>
      </c>
      <c r="B424" t="s">
        <v>356</v>
      </c>
      <c r="C424">
        <v>30</v>
      </c>
      <c r="D424" t="s">
        <v>84</v>
      </c>
      <c r="E424" t="s">
        <v>85</v>
      </c>
      <c r="F424" t="s">
        <v>84</v>
      </c>
      <c r="G424" t="s">
        <v>51</v>
      </c>
      <c r="H424" s="8" t="s">
        <v>40</v>
      </c>
      <c r="I424" s="9">
        <v>69583.149999999994</v>
      </c>
      <c r="J424" s="9">
        <v>18416.240000000002</v>
      </c>
      <c r="K424" s="8" t="s">
        <v>28</v>
      </c>
      <c r="L424" s="10">
        <v>63367.07</v>
      </c>
      <c r="M424" s="8" t="s">
        <v>29</v>
      </c>
      <c r="N424" s="9">
        <v>37392.980000000003</v>
      </c>
      <c r="O424" s="8" t="s">
        <v>30</v>
      </c>
      <c r="P424" t="str">
        <f>TEXT(Table1[[#This Row],[Transaction_Date]],"mmm")</f>
        <v>Nov</v>
      </c>
      <c r="Q424" s="11">
        <v>45987</v>
      </c>
      <c r="R424" s="8" t="s">
        <v>1119</v>
      </c>
      <c r="S424" s="8" t="s">
        <v>54</v>
      </c>
      <c r="T424" s="9">
        <v>8611.27</v>
      </c>
      <c r="U424" t="s">
        <v>45</v>
      </c>
      <c r="V424" s="8" t="s">
        <v>62</v>
      </c>
      <c r="W424"/>
      <c r="X424"/>
    </row>
    <row r="425" spans="1:24" x14ac:dyDescent="0.3">
      <c r="A425" t="s">
        <v>1120</v>
      </c>
      <c r="B425" t="s">
        <v>23</v>
      </c>
      <c r="C425">
        <v>38</v>
      </c>
      <c r="D425" t="s">
        <v>84</v>
      </c>
      <c r="E425" t="s">
        <v>85</v>
      </c>
      <c r="F425" t="s">
        <v>84</v>
      </c>
      <c r="G425" t="s">
        <v>39</v>
      </c>
      <c r="H425" s="8" t="s">
        <v>51</v>
      </c>
      <c r="I425" s="9">
        <v>69132.2</v>
      </c>
      <c r="J425" s="9">
        <v>12388.67</v>
      </c>
      <c r="K425" s="8" t="s">
        <v>59</v>
      </c>
      <c r="L425" s="10">
        <v>61270.92</v>
      </c>
      <c r="M425" s="8" t="s">
        <v>29</v>
      </c>
      <c r="N425" s="9">
        <v>17457.52</v>
      </c>
      <c r="O425" s="8" t="s">
        <v>30</v>
      </c>
      <c r="P425" t="str">
        <f>TEXT(Table1[[#This Row],[Transaction_Date]],"mmm")</f>
        <v>Sep</v>
      </c>
      <c r="Q425" s="11">
        <v>45903</v>
      </c>
      <c r="R425" s="8" t="s">
        <v>1121</v>
      </c>
      <c r="S425" s="8" t="s">
        <v>32</v>
      </c>
      <c r="T425" s="9">
        <v>203.14</v>
      </c>
      <c r="U425" t="s">
        <v>106</v>
      </c>
      <c r="V425" s="8" t="s">
        <v>62</v>
      </c>
      <c r="W425"/>
      <c r="X425"/>
    </row>
    <row r="426" spans="1:24" hidden="1" x14ac:dyDescent="0.3">
      <c r="A426" t="s">
        <v>1122</v>
      </c>
      <c r="B426" t="s">
        <v>362</v>
      </c>
      <c r="C426">
        <v>33</v>
      </c>
      <c r="D426" t="s">
        <v>24</v>
      </c>
      <c r="E426" t="s">
        <v>25</v>
      </c>
      <c r="F426" t="s">
        <v>24</v>
      </c>
      <c r="G426" t="s">
        <v>80</v>
      </c>
      <c r="H426" s="8" t="s">
        <v>40</v>
      </c>
      <c r="I426" s="9">
        <v>63768.41</v>
      </c>
      <c r="J426" s="9">
        <v>21022.16</v>
      </c>
      <c r="K426" s="8" t="s">
        <v>28</v>
      </c>
      <c r="L426" s="10">
        <v>31192.27</v>
      </c>
      <c r="M426" s="8" t="s">
        <v>29</v>
      </c>
      <c r="N426" s="9">
        <v>21196.12</v>
      </c>
      <c r="O426" s="8" t="s">
        <v>30</v>
      </c>
      <c r="P426" t="str">
        <f>TEXT(Table1[[#This Row],[Transaction_Date]],"mmm")</f>
        <v>May</v>
      </c>
      <c r="Q426" s="11">
        <v>45785</v>
      </c>
      <c r="R426" s="8" t="s">
        <v>1123</v>
      </c>
      <c r="S426" s="8" t="s">
        <v>70</v>
      </c>
      <c r="T426" s="9">
        <v>1680.28</v>
      </c>
      <c r="U426" t="s">
        <v>45</v>
      </c>
      <c r="V426" s="8" t="s">
        <v>62</v>
      </c>
      <c r="W426"/>
      <c r="X426"/>
    </row>
    <row r="427" spans="1:24" hidden="1" x14ac:dyDescent="0.3">
      <c r="A427" t="s">
        <v>1124</v>
      </c>
      <c r="B427" t="s">
        <v>439</v>
      </c>
      <c r="C427">
        <v>19</v>
      </c>
      <c r="D427" t="s">
        <v>24</v>
      </c>
      <c r="E427" t="s">
        <v>25</v>
      </c>
      <c r="F427" t="s">
        <v>24</v>
      </c>
      <c r="G427" t="s">
        <v>51</v>
      </c>
      <c r="H427" s="8" t="s">
        <v>40</v>
      </c>
      <c r="I427" s="9">
        <v>34130.76</v>
      </c>
      <c r="J427" s="9">
        <v>49947.86</v>
      </c>
      <c r="K427" s="8" t="s">
        <v>28</v>
      </c>
      <c r="L427" s="10">
        <v>25000</v>
      </c>
      <c r="M427" s="8" t="s">
        <v>29</v>
      </c>
      <c r="N427" s="9">
        <v>12663.95</v>
      </c>
      <c r="O427" s="8" t="s">
        <v>30</v>
      </c>
      <c r="P427" t="str">
        <f>TEXT(Table1[[#This Row],[Transaction_Date]],"mmm")</f>
        <v>Mar</v>
      </c>
      <c r="Q427" s="11">
        <v>45741</v>
      </c>
      <c r="R427" s="8" t="s">
        <v>1125</v>
      </c>
      <c r="S427" s="8" t="s">
        <v>44</v>
      </c>
      <c r="T427" s="9">
        <v>1970.75</v>
      </c>
      <c r="U427" t="s">
        <v>106</v>
      </c>
      <c r="V427" s="8" t="s">
        <v>62</v>
      </c>
      <c r="W427"/>
      <c r="X427"/>
    </row>
    <row r="428" spans="1:24" hidden="1" x14ac:dyDescent="0.3">
      <c r="A428" t="s">
        <v>1126</v>
      </c>
      <c r="B428" t="s">
        <v>325</v>
      </c>
      <c r="C428">
        <v>43</v>
      </c>
      <c r="D428" t="s">
        <v>65</v>
      </c>
      <c r="E428" t="s">
        <v>66</v>
      </c>
      <c r="F428" t="s">
        <v>65</v>
      </c>
      <c r="G428" t="s">
        <v>80</v>
      </c>
      <c r="H428" s="8" t="s">
        <v>40</v>
      </c>
      <c r="I428" s="9">
        <v>60993.27</v>
      </c>
      <c r="J428" s="9">
        <v>92747.64</v>
      </c>
      <c r="K428" s="8" t="s">
        <v>74</v>
      </c>
      <c r="L428" s="10">
        <v>0</v>
      </c>
      <c r="M428" s="8" t="s">
        <v>75</v>
      </c>
      <c r="N428" s="9">
        <v>0</v>
      </c>
      <c r="O428" s="8" t="s">
        <v>30</v>
      </c>
      <c r="P428" t="str">
        <f>TEXT(Table1[[#This Row],[Transaction_Date]],"mmm")</f>
        <v>Oct</v>
      </c>
      <c r="Q428" s="11">
        <v>45935</v>
      </c>
      <c r="R428" s="8" t="s">
        <v>1127</v>
      </c>
      <c r="S428" s="8" t="s">
        <v>44</v>
      </c>
      <c r="T428" s="9">
        <v>4072.88</v>
      </c>
      <c r="U428" t="s">
        <v>106</v>
      </c>
      <c r="V428" s="8" t="s">
        <v>62</v>
      </c>
      <c r="W428"/>
      <c r="X428"/>
    </row>
    <row r="429" spans="1:24" hidden="1" x14ac:dyDescent="0.3">
      <c r="A429" t="s">
        <v>1128</v>
      </c>
      <c r="B429" t="s">
        <v>533</v>
      </c>
      <c r="C429">
        <v>21</v>
      </c>
      <c r="D429" t="s">
        <v>57</v>
      </c>
      <c r="E429" t="s">
        <v>58</v>
      </c>
      <c r="F429" t="s">
        <v>57</v>
      </c>
      <c r="G429" t="s">
        <v>26</v>
      </c>
      <c r="H429" s="8" t="s">
        <v>51</v>
      </c>
      <c r="I429" s="9">
        <v>117499.5</v>
      </c>
      <c r="J429" s="9">
        <v>43447.53</v>
      </c>
      <c r="K429" s="8" t="s">
        <v>74</v>
      </c>
      <c r="L429" s="10">
        <v>0</v>
      </c>
      <c r="M429" s="8" t="s">
        <v>75</v>
      </c>
      <c r="N429" s="9">
        <v>0</v>
      </c>
      <c r="O429" s="8" t="s">
        <v>30</v>
      </c>
      <c r="P429" t="str">
        <f>TEXT(Table1[[#This Row],[Transaction_Date]],"mmm")</f>
        <v>Feb</v>
      </c>
      <c r="Q429" s="11">
        <v>45711</v>
      </c>
      <c r="R429" s="8" t="s">
        <v>1129</v>
      </c>
      <c r="S429" s="8" t="s">
        <v>44</v>
      </c>
      <c r="T429" s="9">
        <v>13743.77</v>
      </c>
      <c r="U429" t="s">
        <v>71</v>
      </c>
      <c r="V429" s="8" t="s">
        <v>62</v>
      </c>
      <c r="W429"/>
      <c r="X429"/>
    </row>
    <row r="430" spans="1:24" hidden="1" x14ac:dyDescent="0.3">
      <c r="A430" t="s">
        <v>1130</v>
      </c>
      <c r="B430" t="s">
        <v>1131</v>
      </c>
      <c r="C430">
        <v>30</v>
      </c>
      <c r="D430" t="s">
        <v>475</v>
      </c>
      <c r="E430" t="s">
        <v>98</v>
      </c>
      <c r="F430" t="s">
        <v>97</v>
      </c>
      <c r="G430" t="s">
        <v>80</v>
      </c>
      <c r="H430" s="8" t="s">
        <v>51</v>
      </c>
      <c r="I430" s="9">
        <v>35819.79</v>
      </c>
      <c r="J430" s="9">
        <v>41243.279999999999</v>
      </c>
      <c r="K430" s="8" t="s">
        <v>28</v>
      </c>
      <c r="L430" s="10">
        <v>165599.13</v>
      </c>
      <c r="M430" s="8" t="s">
        <v>29</v>
      </c>
      <c r="N430" s="9">
        <v>80624.149999999994</v>
      </c>
      <c r="O430" s="8" t="s">
        <v>30</v>
      </c>
      <c r="P430" t="str">
        <f>TEXT(Table1[[#This Row],[Transaction_Date]],"mmm")</f>
        <v>Aug</v>
      </c>
      <c r="Q430" s="11">
        <v>45888</v>
      </c>
      <c r="R430" s="8" t="s">
        <v>1132</v>
      </c>
      <c r="S430" s="8" t="s">
        <v>54</v>
      </c>
      <c r="T430" s="9">
        <v>2578.62</v>
      </c>
      <c r="U430" t="s">
        <v>77</v>
      </c>
      <c r="V430" s="8" t="s">
        <v>62</v>
      </c>
      <c r="W430"/>
      <c r="X430"/>
    </row>
    <row r="431" spans="1:24" x14ac:dyDescent="0.3">
      <c r="A431" t="s">
        <v>1133</v>
      </c>
      <c r="B431" t="s">
        <v>455</v>
      </c>
      <c r="C431">
        <v>21</v>
      </c>
      <c r="D431" t="s">
        <v>49</v>
      </c>
      <c r="E431" t="s">
        <v>50</v>
      </c>
      <c r="F431" t="s">
        <v>49</v>
      </c>
      <c r="G431" t="s">
        <v>39</v>
      </c>
      <c r="H431" s="8" t="s">
        <v>40</v>
      </c>
      <c r="I431" s="9">
        <v>48121.29</v>
      </c>
      <c r="J431" s="9">
        <v>20600.39</v>
      </c>
      <c r="K431" s="8" t="s">
        <v>74</v>
      </c>
      <c r="L431" s="10">
        <v>0</v>
      </c>
      <c r="M431" s="8" t="s">
        <v>75</v>
      </c>
      <c r="N431" s="9">
        <v>0</v>
      </c>
      <c r="O431" s="8" t="s">
        <v>30</v>
      </c>
      <c r="P431" t="str">
        <f>TEXT(Table1[[#This Row],[Transaction_Date]],"mmm")</f>
        <v>May</v>
      </c>
      <c r="Q431" s="11">
        <v>45807</v>
      </c>
      <c r="R431" s="8" t="s">
        <v>1134</v>
      </c>
      <c r="S431" s="8" t="s">
        <v>54</v>
      </c>
      <c r="T431" s="9">
        <v>6715.46</v>
      </c>
      <c r="U431" t="s">
        <v>61</v>
      </c>
      <c r="V431" s="8" t="s">
        <v>62</v>
      </c>
      <c r="W431"/>
      <c r="X431"/>
    </row>
    <row r="432" spans="1:24" hidden="1" x14ac:dyDescent="0.3">
      <c r="A432" t="s">
        <v>1135</v>
      </c>
      <c r="B432" t="s">
        <v>654</v>
      </c>
      <c r="C432">
        <v>28</v>
      </c>
      <c r="D432" t="s">
        <v>57</v>
      </c>
      <c r="E432" t="s">
        <v>58</v>
      </c>
      <c r="F432" t="s">
        <v>57</v>
      </c>
      <c r="G432" t="s">
        <v>51</v>
      </c>
      <c r="H432" s="8" t="s">
        <v>67</v>
      </c>
      <c r="I432" s="9">
        <v>26146.47</v>
      </c>
      <c r="J432" s="9">
        <v>12783.67</v>
      </c>
      <c r="K432" s="8" t="s">
        <v>28</v>
      </c>
      <c r="L432" s="10">
        <v>36588.269999999997</v>
      </c>
      <c r="M432" s="8" t="s">
        <v>42</v>
      </c>
      <c r="N432" s="9">
        <v>0</v>
      </c>
      <c r="O432" s="8" t="s">
        <v>30</v>
      </c>
      <c r="P432" t="str">
        <f>TEXT(Table1[[#This Row],[Transaction_Date]],"mmm")</f>
        <v>Oct</v>
      </c>
      <c r="Q432" s="11">
        <v>45943</v>
      </c>
      <c r="R432" s="8" t="s">
        <v>1136</v>
      </c>
      <c r="S432" s="8" t="s">
        <v>44</v>
      </c>
      <c r="T432" s="9">
        <v>2067.98</v>
      </c>
      <c r="U432" t="s">
        <v>77</v>
      </c>
      <c r="V432" s="8" t="s">
        <v>62</v>
      </c>
      <c r="W432"/>
      <c r="X432"/>
    </row>
    <row r="433" spans="1:24" hidden="1" x14ac:dyDescent="0.3">
      <c r="A433" t="s">
        <v>1137</v>
      </c>
      <c r="B433" t="s">
        <v>108</v>
      </c>
      <c r="C433">
        <v>26</v>
      </c>
      <c r="D433" t="s">
        <v>92</v>
      </c>
      <c r="E433" t="s">
        <v>93</v>
      </c>
      <c r="F433" t="s">
        <v>92</v>
      </c>
      <c r="G433" t="s">
        <v>51</v>
      </c>
      <c r="H433" s="8" t="s">
        <v>51</v>
      </c>
      <c r="I433" s="9">
        <v>30303.11</v>
      </c>
      <c r="J433" s="9">
        <v>16966.29</v>
      </c>
      <c r="K433" s="8" t="s">
        <v>74</v>
      </c>
      <c r="L433" s="10">
        <v>0</v>
      </c>
      <c r="M433" s="8" t="s">
        <v>75</v>
      </c>
      <c r="N433" s="9">
        <v>0</v>
      </c>
      <c r="O433" s="8" t="s">
        <v>30</v>
      </c>
      <c r="P433" t="str">
        <f>TEXT(Table1[[#This Row],[Transaction_Date]],"mmm")</f>
        <v>Feb</v>
      </c>
      <c r="Q433" s="11">
        <v>45715</v>
      </c>
      <c r="R433" s="8" t="s">
        <v>1138</v>
      </c>
      <c r="S433" s="8" t="s">
        <v>54</v>
      </c>
      <c r="T433" s="9">
        <v>3476.84</v>
      </c>
      <c r="U433" t="s">
        <v>61</v>
      </c>
      <c r="V433" s="8" t="s">
        <v>62</v>
      </c>
      <c r="W433"/>
      <c r="X433"/>
    </row>
    <row r="434" spans="1:24" x14ac:dyDescent="0.3">
      <c r="A434" t="s">
        <v>1139</v>
      </c>
      <c r="B434" t="s">
        <v>662</v>
      </c>
      <c r="C434">
        <v>18</v>
      </c>
      <c r="D434" t="s">
        <v>24</v>
      </c>
      <c r="E434" t="s">
        <v>25</v>
      </c>
      <c r="F434" t="s">
        <v>24</v>
      </c>
      <c r="G434" t="s">
        <v>39</v>
      </c>
      <c r="H434" s="8" t="s">
        <v>51</v>
      </c>
      <c r="I434" s="9">
        <v>52390.6</v>
      </c>
      <c r="J434" s="9">
        <v>13934.91</v>
      </c>
      <c r="K434" s="8" t="s">
        <v>68</v>
      </c>
      <c r="L434" s="10">
        <v>57338.97</v>
      </c>
      <c r="M434" s="8" t="s">
        <v>29</v>
      </c>
      <c r="N434" s="9">
        <v>37348.870000000003</v>
      </c>
      <c r="O434" s="8" t="s">
        <v>30</v>
      </c>
      <c r="P434" t="str">
        <f>TEXT(Table1[[#This Row],[Transaction_Date]],"mmm")</f>
        <v>Jun</v>
      </c>
      <c r="Q434" s="11">
        <v>45826</v>
      </c>
      <c r="R434" s="8" t="s">
        <v>1140</v>
      </c>
      <c r="S434" s="8" t="s">
        <v>70</v>
      </c>
      <c r="T434" s="9">
        <v>7461.34</v>
      </c>
      <c r="U434" t="s">
        <v>33</v>
      </c>
      <c r="V434" s="8" t="s">
        <v>62</v>
      </c>
      <c r="W434"/>
      <c r="X434"/>
    </row>
    <row r="435" spans="1:24" hidden="1" x14ac:dyDescent="0.3">
      <c r="A435" t="s">
        <v>1141</v>
      </c>
      <c r="B435" t="s">
        <v>643</v>
      </c>
      <c r="C435">
        <v>70</v>
      </c>
      <c r="D435" t="s">
        <v>57</v>
      </c>
      <c r="E435" t="s">
        <v>58</v>
      </c>
      <c r="F435" t="s">
        <v>57</v>
      </c>
      <c r="G435" t="s">
        <v>51</v>
      </c>
      <c r="H435" s="8" t="s">
        <v>40</v>
      </c>
      <c r="I435" s="9">
        <v>64265.81</v>
      </c>
      <c r="J435" s="9">
        <v>66146.320000000007</v>
      </c>
      <c r="K435" s="8" t="s">
        <v>59</v>
      </c>
      <c r="L435" s="10">
        <v>109081.95</v>
      </c>
      <c r="M435" s="8" t="s">
        <v>29</v>
      </c>
      <c r="N435" s="9">
        <v>56678.080000000002</v>
      </c>
      <c r="O435" s="8" t="s">
        <v>30</v>
      </c>
      <c r="P435" t="str">
        <f>TEXT(Table1[[#This Row],[Transaction_Date]],"mmm")</f>
        <v>Sep</v>
      </c>
      <c r="Q435" s="11">
        <v>45928</v>
      </c>
      <c r="R435" s="8" t="s">
        <v>1142</v>
      </c>
      <c r="S435" s="8" t="s">
        <v>44</v>
      </c>
      <c r="T435" s="9">
        <v>490.4</v>
      </c>
      <c r="U435" t="s">
        <v>77</v>
      </c>
      <c r="V435" s="8" t="s">
        <v>62</v>
      </c>
      <c r="W435"/>
      <c r="X435"/>
    </row>
    <row r="436" spans="1:24" hidden="1" x14ac:dyDescent="0.3">
      <c r="A436" t="s">
        <v>1143</v>
      </c>
      <c r="B436" t="s">
        <v>670</v>
      </c>
      <c r="C436">
        <v>42</v>
      </c>
      <c r="D436" t="s">
        <v>57</v>
      </c>
      <c r="E436" t="s">
        <v>58</v>
      </c>
      <c r="F436" t="s">
        <v>57</v>
      </c>
      <c r="G436" t="s">
        <v>80</v>
      </c>
      <c r="H436" s="8" t="s">
        <v>51</v>
      </c>
      <c r="I436" s="9">
        <v>62018.99</v>
      </c>
      <c r="J436" s="9">
        <v>32338.720000000001</v>
      </c>
      <c r="K436" s="8" t="s">
        <v>59</v>
      </c>
      <c r="L436" s="10">
        <v>36321.86</v>
      </c>
      <c r="M436" s="8" t="s">
        <v>29</v>
      </c>
      <c r="N436" s="9">
        <v>14201.71</v>
      </c>
      <c r="O436" s="8" t="s">
        <v>228</v>
      </c>
      <c r="P436" t="str">
        <f>TEXT(Table1[[#This Row],[Transaction_Date]],"mmm")</f>
        <v>Apr</v>
      </c>
      <c r="Q436" s="11">
        <v>45766</v>
      </c>
      <c r="R436" s="8" t="s">
        <v>1144</v>
      </c>
      <c r="S436" s="8" t="s">
        <v>54</v>
      </c>
      <c r="T436" s="9">
        <v>2093.42</v>
      </c>
      <c r="U436" t="s">
        <v>33</v>
      </c>
      <c r="V436" s="8" t="s">
        <v>62</v>
      </c>
      <c r="W436"/>
      <c r="X436"/>
    </row>
    <row r="437" spans="1:24" hidden="1" x14ac:dyDescent="0.3">
      <c r="A437" t="s">
        <v>1145</v>
      </c>
      <c r="B437" t="s">
        <v>904</v>
      </c>
      <c r="C437">
        <v>38</v>
      </c>
      <c r="D437" t="s">
        <v>84</v>
      </c>
      <c r="E437" t="s">
        <v>85</v>
      </c>
      <c r="F437" t="s">
        <v>84</v>
      </c>
      <c r="G437" t="s">
        <v>80</v>
      </c>
      <c r="H437" s="8" t="s">
        <v>51</v>
      </c>
      <c r="I437" s="9">
        <v>37076.199999999997</v>
      </c>
      <c r="J437" s="9">
        <v>5591.36</v>
      </c>
      <c r="K437" s="8" t="s">
        <v>74</v>
      </c>
      <c r="L437" s="10">
        <v>0</v>
      </c>
      <c r="M437" s="8" t="s">
        <v>75</v>
      </c>
      <c r="N437" s="9">
        <v>0</v>
      </c>
      <c r="O437" s="8" t="s">
        <v>30</v>
      </c>
      <c r="P437" t="str">
        <f>TEXT(Table1[[#This Row],[Transaction_Date]],"mmm")</f>
        <v>Nov</v>
      </c>
      <c r="Q437" s="11">
        <v>45972</v>
      </c>
      <c r="R437" s="8" t="s">
        <v>1146</v>
      </c>
      <c r="S437" s="8" t="s">
        <v>54</v>
      </c>
      <c r="T437" s="9">
        <v>11943.76</v>
      </c>
      <c r="U437" t="s">
        <v>77</v>
      </c>
      <c r="V437" s="8" t="s">
        <v>62</v>
      </c>
      <c r="W437"/>
      <c r="X437"/>
    </row>
    <row r="438" spans="1:24" hidden="1" x14ac:dyDescent="0.3">
      <c r="A438" t="s">
        <v>1147</v>
      </c>
      <c r="B438" t="s">
        <v>610</v>
      </c>
      <c r="C438">
        <v>44</v>
      </c>
      <c r="D438" t="s">
        <v>37</v>
      </c>
      <c r="E438" t="s">
        <v>38</v>
      </c>
      <c r="F438" t="s">
        <v>37</v>
      </c>
      <c r="G438" t="s">
        <v>51</v>
      </c>
      <c r="H438" s="8" t="s">
        <v>51</v>
      </c>
      <c r="I438" s="9">
        <v>52390.6</v>
      </c>
      <c r="J438" s="9">
        <v>190535.97</v>
      </c>
      <c r="K438" s="8" t="s">
        <v>74</v>
      </c>
      <c r="L438" s="10">
        <v>0</v>
      </c>
      <c r="M438" s="8" t="s">
        <v>75</v>
      </c>
      <c r="N438" s="9">
        <v>0</v>
      </c>
      <c r="O438" s="8" t="s">
        <v>30</v>
      </c>
      <c r="P438" t="str">
        <f>TEXT(Table1[[#This Row],[Transaction_Date]],"mmm")</f>
        <v>Feb</v>
      </c>
      <c r="Q438" s="11">
        <v>45700</v>
      </c>
      <c r="R438" s="8" t="s">
        <v>1148</v>
      </c>
      <c r="S438" s="8" t="s">
        <v>32</v>
      </c>
      <c r="T438" s="9">
        <v>912.92</v>
      </c>
      <c r="U438" t="s">
        <v>71</v>
      </c>
      <c r="V438" s="8" t="s">
        <v>62</v>
      </c>
      <c r="W438"/>
      <c r="X438"/>
    </row>
    <row r="439" spans="1:24" hidden="1" x14ac:dyDescent="0.3">
      <c r="A439" t="s">
        <v>1149</v>
      </c>
      <c r="B439" t="s">
        <v>396</v>
      </c>
      <c r="C439">
        <v>47</v>
      </c>
      <c r="D439" t="s">
        <v>65</v>
      </c>
      <c r="E439" t="s">
        <v>66</v>
      </c>
      <c r="F439" t="s">
        <v>65</v>
      </c>
      <c r="G439" t="s">
        <v>51</v>
      </c>
      <c r="H439" s="8" t="s">
        <v>40</v>
      </c>
      <c r="I439" s="9">
        <v>50859.33</v>
      </c>
      <c r="J439" s="9">
        <v>35262.89</v>
      </c>
      <c r="K439" s="8" t="s">
        <v>28</v>
      </c>
      <c r="L439" s="10">
        <v>25000</v>
      </c>
      <c r="M439" s="8" t="s">
        <v>29</v>
      </c>
      <c r="N439" s="9">
        <v>17570.87</v>
      </c>
      <c r="O439" s="8" t="s">
        <v>30</v>
      </c>
      <c r="P439" t="str">
        <f>TEXT(Table1[[#This Row],[Transaction_Date]],"mmm")</f>
        <v>Oct</v>
      </c>
      <c r="Q439" s="11">
        <v>45934</v>
      </c>
      <c r="R439" s="8" t="s">
        <v>1150</v>
      </c>
      <c r="S439" s="8" t="s">
        <v>70</v>
      </c>
      <c r="T439" s="9">
        <v>603.71</v>
      </c>
      <c r="U439" t="s">
        <v>33</v>
      </c>
      <c r="V439" s="8" t="s">
        <v>62</v>
      </c>
      <c r="W439"/>
      <c r="X439"/>
    </row>
    <row r="440" spans="1:24" x14ac:dyDescent="0.3">
      <c r="A440" t="s">
        <v>1151</v>
      </c>
      <c r="B440" t="s">
        <v>847</v>
      </c>
      <c r="C440">
        <v>18</v>
      </c>
      <c r="D440" t="s">
        <v>65</v>
      </c>
      <c r="E440" t="s">
        <v>66</v>
      </c>
      <c r="F440" t="s">
        <v>65</v>
      </c>
      <c r="G440" t="s">
        <v>39</v>
      </c>
      <c r="H440" s="8" t="s">
        <v>27</v>
      </c>
      <c r="I440" s="9">
        <v>79026.27</v>
      </c>
      <c r="J440" s="9">
        <v>28049.85</v>
      </c>
      <c r="K440" s="8" t="s">
        <v>41</v>
      </c>
      <c r="L440" s="10">
        <v>25000</v>
      </c>
      <c r="M440" s="8" t="s">
        <v>29</v>
      </c>
      <c r="N440" s="9">
        <v>22054.75</v>
      </c>
      <c r="O440" s="8" t="s">
        <v>30</v>
      </c>
      <c r="P440" t="str">
        <f>TEXT(Table1[[#This Row],[Transaction_Date]],"mmm")</f>
        <v>Jun</v>
      </c>
      <c r="Q440" s="11">
        <v>45811</v>
      </c>
      <c r="R440" s="8" t="s">
        <v>1152</v>
      </c>
      <c r="S440" s="8" t="s">
        <v>54</v>
      </c>
      <c r="T440" s="9">
        <v>5110.92</v>
      </c>
      <c r="U440" t="s">
        <v>71</v>
      </c>
      <c r="V440" s="8" t="s">
        <v>46</v>
      </c>
      <c r="W440"/>
      <c r="X440"/>
    </row>
    <row r="441" spans="1:24" x14ac:dyDescent="0.3">
      <c r="A441" t="s">
        <v>1153</v>
      </c>
      <c r="B441" t="s">
        <v>507</v>
      </c>
      <c r="C441">
        <v>40</v>
      </c>
      <c r="D441" t="s">
        <v>84</v>
      </c>
      <c r="E441" t="s">
        <v>85</v>
      </c>
      <c r="F441" t="s">
        <v>84</v>
      </c>
      <c r="G441" t="s">
        <v>39</v>
      </c>
      <c r="H441" s="8" t="s">
        <v>40</v>
      </c>
      <c r="I441" s="9">
        <v>55138.01</v>
      </c>
      <c r="J441" s="9">
        <v>12317.4</v>
      </c>
      <c r="K441" s="8" t="s">
        <v>74</v>
      </c>
      <c r="L441" s="10">
        <v>0</v>
      </c>
      <c r="M441" s="8" t="s">
        <v>75</v>
      </c>
      <c r="N441" s="9">
        <v>0</v>
      </c>
      <c r="O441" s="8" t="s">
        <v>30</v>
      </c>
      <c r="P441" t="str">
        <f>TEXT(Table1[[#This Row],[Transaction_Date]],"mmm")</f>
        <v>Mar</v>
      </c>
      <c r="Q441" s="11">
        <v>45742</v>
      </c>
      <c r="R441" s="8" t="s">
        <v>1154</v>
      </c>
      <c r="S441" s="8" t="s">
        <v>44</v>
      </c>
      <c r="T441" s="9">
        <v>800.6</v>
      </c>
      <c r="U441" t="s">
        <v>106</v>
      </c>
      <c r="V441" s="8" t="s">
        <v>34</v>
      </c>
      <c r="W441"/>
      <c r="X441"/>
    </row>
    <row r="442" spans="1:24" x14ac:dyDescent="0.3">
      <c r="A442" t="s">
        <v>1155</v>
      </c>
      <c r="B442" t="s">
        <v>854</v>
      </c>
      <c r="C442">
        <v>26</v>
      </c>
      <c r="D442" t="s">
        <v>84</v>
      </c>
      <c r="E442" t="s">
        <v>85</v>
      </c>
      <c r="F442" t="s">
        <v>84</v>
      </c>
      <c r="G442" t="s">
        <v>39</v>
      </c>
      <c r="H442" s="8" t="s">
        <v>27</v>
      </c>
      <c r="I442" s="9">
        <v>37500.160000000003</v>
      </c>
      <c r="J442" s="9">
        <v>25678.51</v>
      </c>
      <c r="K442" s="8" t="s">
        <v>59</v>
      </c>
      <c r="L442" s="10">
        <v>57170.11</v>
      </c>
      <c r="M442" s="8" t="s">
        <v>29</v>
      </c>
      <c r="N442" s="9">
        <v>33330.870000000003</v>
      </c>
      <c r="O442" s="8" t="s">
        <v>30</v>
      </c>
      <c r="P442" t="str">
        <f>TEXT(Table1[[#This Row],[Transaction_Date]],"mmm")</f>
        <v>Jan</v>
      </c>
      <c r="Q442" s="11">
        <v>45677</v>
      </c>
      <c r="R442" s="8" t="s">
        <v>1156</v>
      </c>
      <c r="S442" s="8" t="s">
        <v>44</v>
      </c>
      <c r="T442" s="9">
        <v>9169.9699999999993</v>
      </c>
      <c r="U442" t="s">
        <v>106</v>
      </c>
      <c r="V442" s="8" t="s">
        <v>62</v>
      </c>
      <c r="W442"/>
      <c r="X442"/>
    </row>
    <row r="443" spans="1:24" hidden="1" x14ac:dyDescent="0.3">
      <c r="A443" t="s">
        <v>1157</v>
      </c>
      <c r="B443" t="s">
        <v>760</v>
      </c>
      <c r="C443">
        <v>40</v>
      </c>
      <c r="D443" t="s">
        <v>65</v>
      </c>
      <c r="E443" t="s">
        <v>66</v>
      </c>
      <c r="F443" t="s">
        <v>65</v>
      </c>
      <c r="G443" t="s">
        <v>26</v>
      </c>
      <c r="H443" s="8" t="s">
        <v>51</v>
      </c>
      <c r="I443" s="9">
        <v>57355.26</v>
      </c>
      <c r="J443" s="9">
        <v>20125.509999999998</v>
      </c>
      <c r="K443" s="8" t="s">
        <v>68</v>
      </c>
      <c r="L443" s="10">
        <v>46218.7</v>
      </c>
      <c r="M443" s="8" t="s">
        <v>29</v>
      </c>
      <c r="N443" s="9">
        <v>11058.3</v>
      </c>
      <c r="O443" s="8" t="s">
        <v>30</v>
      </c>
      <c r="P443" t="str">
        <f>TEXT(Table1[[#This Row],[Transaction_Date]],"mmm")</f>
        <v>May</v>
      </c>
      <c r="Q443" s="11">
        <v>45799</v>
      </c>
      <c r="R443" s="8" t="s">
        <v>1158</v>
      </c>
      <c r="S443" s="8" t="s">
        <v>32</v>
      </c>
      <c r="T443" s="9">
        <v>154.31</v>
      </c>
      <c r="U443" t="s">
        <v>71</v>
      </c>
      <c r="V443" s="8" t="s">
        <v>62</v>
      </c>
      <c r="W443"/>
      <c r="X443"/>
    </row>
    <row r="444" spans="1:24" x14ac:dyDescent="0.3">
      <c r="A444" t="s">
        <v>1159</v>
      </c>
      <c r="B444" t="s">
        <v>83</v>
      </c>
      <c r="C444">
        <v>31</v>
      </c>
      <c r="D444" t="s">
        <v>49</v>
      </c>
      <c r="E444" t="s">
        <v>50</v>
      </c>
      <c r="F444" t="s">
        <v>49</v>
      </c>
      <c r="G444" t="s">
        <v>39</v>
      </c>
      <c r="H444" s="8" t="s">
        <v>51</v>
      </c>
      <c r="I444" s="9">
        <v>71864.13</v>
      </c>
      <c r="J444" s="9">
        <v>28916.76</v>
      </c>
      <c r="K444" s="8" t="s">
        <v>28</v>
      </c>
      <c r="L444" s="10">
        <v>99736.58</v>
      </c>
      <c r="M444" s="8" t="s">
        <v>29</v>
      </c>
      <c r="N444" s="9">
        <v>35676.49</v>
      </c>
      <c r="O444" s="8" t="s">
        <v>30</v>
      </c>
      <c r="P444" t="str">
        <f>TEXT(Table1[[#This Row],[Transaction_Date]],"mmm")</f>
        <v>Nov</v>
      </c>
      <c r="Q444" s="11">
        <v>45981</v>
      </c>
      <c r="R444" s="8" t="s">
        <v>1160</v>
      </c>
      <c r="S444" s="8" t="s">
        <v>70</v>
      </c>
      <c r="T444" s="9">
        <v>2596.94</v>
      </c>
      <c r="U444" t="s">
        <v>71</v>
      </c>
      <c r="V444" s="8" t="s">
        <v>62</v>
      </c>
      <c r="W444"/>
      <c r="X444"/>
    </row>
    <row r="445" spans="1:24" x14ac:dyDescent="0.3">
      <c r="A445" t="s">
        <v>1161</v>
      </c>
      <c r="B445" t="s">
        <v>415</v>
      </c>
      <c r="C445">
        <v>49</v>
      </c>
      <c r="D445" t="s">
        <v>49</v>
      </c>
      <c r="E445" t="s">
        <v>50</v>
      </c>
      <c r="F445" t="s">
        <v>49</v>
      </c>
      <c r="G445" t="s">
        <v>39</v>
      </c>
      <c r="H445" s="8" t="s">
        <v>40</v>
      </c>
      <c r="I445" s="9">
        <v>53272.66</v>
      </c>
      <c r="J445" s="9">
        <v>74577.13</v>
      </c>
      <c r="K445" s="8" t="s">
        <v>68</v>
      </c>
      <c r="L445" s="10">
        <v>36894.379999999997</v>
      </c>
      <c r="M445" s="8" t="s">
        <v>29</v>
      </c>
      <c r="N445" s="9">
        <v>23132.81</v>
      </c>
      <c r="O445" s="8" t="s">
        <v>30</v>
      </c>
      <c r="P445" t="str">
        <f>TEXT(Table1[[#This Row],[Transaction_Date]],"mmm")</f>
        <v>Jul</v>
      </c>
      <c r="Q445" s="11">
        <v>45862</v>
      </c>
      <c r="R445" s="8" t="s">
        <v>1162</v>
      </c>
      <c r="S445" s="8" t="s">
        <v>32</v>
      </c>
      <c r="T445" s="9">
        <v>3079.94</v>
      </c>
      <c r="U445" t="s">
        <v>77</v>
      </c>
      <c r="V445" s="8" t="s">
        <v>34</v>
      </c>
      <c r="W445"/>
      <c r="X445"/>
    </row>
    <row r="446" spans="1:24" hidden="1" x14ac:dyDescent="0.3">
      <c r="A446" t="s">
        <v>1163</v>
      </c>
      <c r="B446" t="s">
        <v>626</v>
      </c>
      <c r="C446">
        <v>47</v>
      </c>
      <c r="D446" t="s">
        <v>24</v>
      </c>
      <c r="E446" t="s">
        <v>25</v>
      </c>
      <c r="F446" t="s">
        <v>24</v>
      </c>
      <c r="G446" t="s">
        <v>80</v>
      </c>
      <c r="H446" s="8" t="s">
        <v>40</v>
      </c>
      <c r="I446" s="9">
        <v>91008.28</v>
      </c>
      <c r="J446" s="9">
        <v>21250.13</v>
      </c>
      <c r="K446" s="8" t="s">
        <v>59</v>
      </c>
      <c r="L446" s="10">
        <v>52183.65</v>
      </c>
      <c r="M446" s="8" t="s">
        <v>42</v>
      </c>
      <c r="N446" s="9">
        <v>0</v>
      </c>
      <c r="O446" s="8" t="s">
        <v>30</v>
      </c>
      <c r="P446" t="str">
        <f>TEXT(Table1[[#This Row],[Transaction_Date]],"mmm")</f>
        <v>Jan</v>
      </c>
      <c r="Q446" s="11">
        <v>45673</v>
      </c>
      <c r="R446" s="8" t="s">
        <v>1164</v>
      </c>
      <c r="S446" s="8" t="s">
        <v>70</v>
      </c>
      <c r="T446" s="9">
        <v>2922.53</v>
      </c>
      <c r="U446" t="s">
        <v>77</v>
      </c>
      <c r="V446" s="8" t="s">
        <v>62</v>
      </c>
      <c r="W446"/>
      <c r="X446"/>
    </row>
    <row r="447" spans="1:24" hidden="1" x14ac:dyDescent="0.3">
      <c r="A447" t="s">
        <v>1165</v>
      </c>
      <c r="B447" t="s">
        <v>1166</v>
      </c>
      <c r="C447">
        <v>58</v>
      </c>
      <c r="D447" t="s">
        <v>24</v>
      </c>
      <c r="E447" t="s">
        <v>25</v>
      </c>
      <c r="F447" t="s">
        <v>24</v>
      </c>
      <c r="G447" t="s">
        <v>80</v>
      </c>
      <c r="H447" s="8" t="s">
        <v>67</v>
      </c>
      <c r="I447" s="9">
        <v>52390.6</v>
      </c>
      <c r="J447" s="9">
        <v>13781.9</v>
      </c>
      <c r="K447" s="8" t="s">
        <v>28</v>
      </c>
      <c r="L447" s="10">
        <v>25000</v>
      </c>
      <c r="M447" s="8" t="s">
        <v>29</v>
      </c>
      <c r="N447" s="9">
        <v>12750.17</v>
      </c>
      <c r="O447" s="8" t="s">
        <v>30</v>
      </c>
      <c r="P447" t="str">
        <f>TEXT(Table1[[#This Row],[Transaction_Date]],"mmm")</f>
        <v>Mar</v>
      </c>
      <c r="Q447" s="11">
        <v>45732</v>
      </c>
      <c r="R447" s="8" t="s">
        <v>1167</v>
      </c>
      <c r="S447" s="8" t="s">
        <v>54</v>
      </c>
      <c r="T447" s="9">
        <v>915.71</v>
      </c>
      <c r="U447" t="s">
        <v>106</v>
      </c>
      <c r="V447" s="8" t="s">
        <v>62</v>
      </c>
      <c r="W447"/>
      <c r="X447"/>
    </row>
    <row r="448" spans="1:24" x14ac:dyDescent="0.3">
      <c r="A448" t="s">
        <v>1168</v>
      </c>
      <c r="B448" t="s">
        <v>311</v>
      </c>
      <c r="C448">
        <v>22</v>
      </c>
      <c r="D448" t="s">
        <v>84</v>
      </c>
      <c r="E448" t="s">
        <v>85</v>
      </c>
      <c r="F448" t="s">
        <v>84</v>
      </c>
      <c r="G448" t="s">
        <v>39</v>
      </c>
      <c r="H448" s="8" t="s">
        <v>27</v>
      </c>
      <c r="I448" s="9">
        <v>16322.79</v>
      </c>
      <c r="J448" s="9">
        <v>14702.51</v>
      </c>
      <c r="K448" s="8" t="s">
        <v>74</v>
      </c>
      <c r="L448" s="10">
        <v>0</v>
      </c>
      <c r="M448" s="8" t="s">
        <v>75</v>
      </c>
      <c r="N448" s="9">
        <v>0</v>
      </c>
      <c r="O448" s="8" t="s">
        <v>30</v>
      </c>
      <c r="P448" t="str">
        <f>TEXT(Table1[[#This Row],[Transaction_Date]],"mmm")</f>
        <v>Dec</v>
      </c>
      <c r="Q448" s="11">
        <v>46002</v>
      </c>
      <c r="R448" s="8" t="s">
        <v>1169</v>
      </c>
      <c r="S448" s="8" t="s">
        <v>32</v>
      </c>
      <c r="T448" s="9">
        <v>5626.94</v>
      </c>
      <c r="U448" t="s">
        <v>106</v>
      </c>
      <c r="V448" s="8" t="s">
        <v>62</v>
      </c>
      <c r="W448"/>
      <c r="X448"/>
    </row>
    <row r="449" spans="1:24" hidden="1" x14ac:dyDescent="0.3">
      <c r="A449" t="s">
        <v>1170</v>
      </c>
      <c r="B449" t="s">
        <v>1171</v>
      </c>
      <c r="C449">
        <v>33</v>
      </c>
      <c r="D449" t="s">
        <v>92</v>
      </c>
      <c r="E449" t="s">
        <v>93</v>
      </c>
      <c r="F449" t="s">
        <v>92</v>
      </c>
      <c r="G449" t="s">
        <v>51</v>
      </c>
      <c r="H449" s="8" t="s">
        <v>40</v>
      </c>
      <c r="I449" s="9">
        <v>46372.09</v>
      </c>
      <c r="J449" s="9">
        <v>104275.03</v>
      </c>
      <c r="K449" s="8" t="s">
        <v>28</v>
      </c>
      <c r="L449" s="10">
        <v>39721.32</v>
      </c>
      <c r="M449" s="8" t="s">
        <v>29</v>
      </c>
      <c r="N449" s="9">
        <v>19622.27</v>
      </c>
      <c r="O449" s="8" t="s">
        <v>30</v>
      </c>
      <c r="P449" t="str">
        <f>TEXT(Table1[[#This Row],[Transaction_Date]],"mmm")</f>
        <v>Mar</v>
      </c>
      <c r="Q449" s="11">
        <v>45740</v>
      </c>
      <c r="R449" s="8" t="s">
        <v>1172</v>
      </c>
      <c r="S449" s="8" t="s">
        <v>44</v>
      </c>
      <c r="T449" s="9">
        <v>5221.0200000000004</v>
      </c>
      <c r="U449" t="s">
        <v>61</v>
      </c>
      <c r="V449" s="8" t="s">
        <v>62</v>
      </c>
      <c r="W449"/>
      <c r="X449"/>
    </row>
    <row r="450" spans="1:24" x14ac:dyDescent="0.3">
      <c r="A450" t="s">
        <v>1173</v>
      </c>
      <c r="B450" t="s">
        <v>141</v>
      </c>
      <c r="C450">
        <v>24</v>
      </c>
      <c r="D450" t="s">
        <v>92</v>
      </c>
      <c r="E450" t="s">
        <v>93</v>
      </c>
      <c r="F450" t="s">
        <v>92</v>
      </c>
      <c r="G450" t="s">
        <v>39</v>
      </c>
      <c r="H450" s="8" t="s">
        <v>40</v>
      </c>
      <c r="I450" s="9">
        <v>79609.91</v>
      </c>
      <c r="J450" s="9">
        <v>46231.12</v>
      </c>
      <c r="K450" s="8" t="s">
        <v>68</v>
      </c>
      <c r="L450" s="10">
        <v>60462.74</v>
      </c>
      <c r="M450" s="8" t="s">
        <v>29</v>
      </c>
      <c r="N450" s="9">
        <v>15653.94</v>
      </c>
      <c r="O450" s="8" t="s">
        <v>30</v>
      </c>
      <c r="P450" t="str">
        <f>TEXT(Table1[[#This Row],[Transaction_Date]],"mmm")</f>
        <v>Feb</v>
      </c>
      <c r="Q450" s="11">
        <v>45709</v>
      </c>
      <c r="R450" s="8" t="s">
        <v>1174</v>
      </c>
      <c r="S450" s="8" t="s">
        <v>54</v>
      </c>
      <c r="T450" s="9">
        <v>1748.81</v>
      </c>
      <c r="U450" t="s">
        <v>61</v>
      </c>
      <c r="V450" s="8" t="s">
        <v>46</v>
      </c>
      <c r="W450"/>
      <c r="X450"/>
    </row>
    <row r="451" spans="1:24" hidden="1" x14ac:dyDescent="0.3">
      <c r="A451" t="s">
        <v>1175</v>
      </c>
      <c r="B451" t="s">
        <v>91</v>
      </c>
      <c r="C451">
        <v>51</v>
      </c>
      <c r="D451" t="s">
        <v>49</v>
      </c>
      <c r="E451" t="s">
        <v>50</v>
      </c>
      <c r="F451" t="s">
        <v>49</v>
      </c>
      <c r="G451" t="s">
        <v>80</v>
      </c>
      <c r="H451" s="8" t="s">
        <v>40</v>
      </c>
      <c r="I451" s="9">
        <v>34782.68</v>
      </c>
      <c r="J451" s="9">
        <v>34627.919999999998</v>
      </c>
      <c r="K451" s="8" t="s">
        <v>28</v>
      </c>
      <c r="L451" s="10">
        <v>97294.67</v>
      </c>
      <c r="M451" s="8" t="s">
        <v>29</v>
      </c>
      <c r="N451" s="9">
        <v>51984.29</v>
      </c>
      <c r="O451" s="8" t="s">
        <v>30</v>
      </c>
      <c r="P451" t="str">
        <f>TEXT(Table1[[#This Row],[Transaction_Date]],"mmm")</f>
        <v>Apr</v>
      </c>
      <c r="Q451" s="11">
        <v>45751</v>
      </c>
      <c r="R451" s="8" t="s">
        <v>1176</v>
      </c>
      <c r="S451" s="8" t="s">
        <v>44</v>
      </c>
      <c r="T451" s="9">
        <v>526.76</v>
      </c>
      <c r="U451" t="s">
        <v>77</v>
      </c>
      <c r="V451" s="8" t="s">
        <v>62</v>
      </c>
      <c r="W451"/>
      <c r="X451"/>
    </row>
    <row r="452" spans="1:24" hidden="1" x14ac:dyDescent="0.3">
      <c r="A452" t="s">
        <v>1177</v>
      </c>
      <c r="B452" t="s">
        <v>580</v>
      </c>
      <c r="C452">
        <v>39</v>
      </c>
      <c r="D452" t="s">
        <v>24</v>
      </c>
      <c r="E452" t="s">
        <v>25</v>
      </c>
      <c r="F452" t="s">
        <v>24</v>
      </c>
      <c r="G452" t="s">
        <v>51</v>
      </c>
      <c r="H452" s="8" t="s">
        <v>40</v>
      </c>
      <c r="I452" s="9">
        <v>53601.38</v>
      </c>
      <c r="J452" s="9">
        <v>195681.28</v>
      </c>
      <c r="K452" s="8" t="s">
        <v>28</v>
      </c>
      <c r="L452" s="10">
        <v>25000</v>
      </c>
      <c r="M452" s="8" t="s">
        <v>42</v>
      </c>
      <c r="N452" s="9">
        <v>0</v>
      </c>
      <c r="O452" s="8" t="s">
        <v>30</v>
      </c>
      <c r="P452" t="str">
        <f>TEXT(Table1[[#This Row],[Transaction_Date]],"mmm")</f>
        <v>Apr</v>
      </c>
      <c r="Q452" s="11">
        <v>45762</v>
      </c>
      <c r="R452" s="8" t="s">
        <v>1178</v>
      </c>
      <c r="S452" s="8" t="s">
        <v>32</v>
      </c>
      <c r="T452" s="9">
        <v>331.6</v>
      </c>
      <c r="U452" t="s">
        <v>33</v>
      </c>
      <c r="V452" s="8" t="s">
        <v>34</v>
      </c>
      <c r="W452"/>
      <c r="X452"/>
    </row>
    <row r="453" spans="1:24" x14ac:dyDescent="0.3">
      <c r="A453" t="s">
        <v>1179</v>
      </c>
      <c r="B453" t="s">
        <v>1029</v>
      </c>
      <c r="C453">
        <v>18</v>
      </c>
      <c r="D453" t="s">
        <v>84</v>
      </c>
      <c r="E453" t="s">
        <v>85</v>
      </c>
      <c r="F453" t="s">
        <v>84</v>
      </c>
      <c r="G453" t="s">
        <v>39</v>
      </c>
      <c r="H453" s="8" t="s">
        <v>51</v>
      </c>
      <c r="I453" s="9">
        <v>60071.82</v>
      </c>
      <c r="J453" s="9">
        <v>122328.08</v>
      </c>
      <c r="K453" s="8" t="s">
        <v>74</v>
      </c>
      <c r="L453" s="10">
        <v>0</v>
      </c>
      <c r="M453" s="8" t="s">
        <v>75</v>
      </c>
      <c r="N453" s="9">
        <v>0</v>
      </c>
      <c r="O453" s="8" t="s">
        <v>30</v>
      </c>
      <c r="P453" t="str">
        <f>TEXT(Table1[[#This Row],[Transaction_Date]],"mmm")</f>
        <v>Sep</v>
      </c>
      <c r="Q453" s="11">
        <v>45927</v>
      </c>
      <c r="R453" s="8" t="s">
        <v>1180</v>
      </c>
      <c r="S453" s="8" t="s">
        <v>70</v>
      </c>
      <c r="T453" s="9">
        <v>408.74</v>
      </c>
      <c r="U453" t="s">
        <v>33</v>
      </c>
      <c r="V453" s="8" t="s">
        <v>62</v>
      </c>
      <c r="W453"/>
      <c r="X453"/>
    </row>
    <row r="454" spans="1:24" hidden="1" x14ac:dyDescent="0.3">
      <c r="A454" t="s">
        <v>1181</v>
      </c>
      <c r="B454" t="s">
        <v>1182</v>
      </c>
      <c r="C454">
        <v>30</v>
      </c>
      <c r="D454" t="s">
        <v>97</v>
      </c>
      <c r="E454" t="s">
        <v>98</v>
      </c>
      <c r="F454" t="s">
        <v>97</v>
      </c>
      <c r="G454" t="s">
        <v>26</v>
      </c>
      <c r="H454" s="8" t="s">
        <v>67</v>
      </c>
      <c r="I454" s="9">
        <v>26254.35</v>
      </c>
      <c r="J454" s="9">
        <v>14263.88</v>
      </c>
      <c r="K454" s="8" t="s">
        <v>28</v>
      </c>
      <c r="L454" s="10">
        <v>25000</v>
      </c>
      <c r="M454" s="8" t="s">
        <v>29</v>
      </c>
      <c r="N454" s="9">
        <v>16951.34</v>
      </c>
      <c r="O454" s="8" t="s">
        <v>30</v>
      </c>
      <c r="P454" t="str">
        <f>TEXT(Table1[[#This Row],[Transaction_Date]],"mmm")</f>
        <v>Dec</v>
      </c>
      <c r="Q454" s="11">
        <v>45994</v>
      </c>
      <c r="R454" s="8" t="s">
        <v>1183</v>
      </c>
      <c r="S454" s="8" t="s">
        <v>54</v>
      </c>
      <c r="T454" s="9">
        <v>4239.3</v>
      </c>
      <c r="U454" t="s">
        <v>33</v>
      </c>
      <c r="V454" s="8" t="s">
        <v>62</v>
      </c>
      <c r="W454"/>
      <c r="X454"/>
    </row>
    <row r="455" spans="1:24" x14ac:dyDescent="0.3">
      <c r="A455" t="s">
        <v>1184</v>
      </c>
      <c r="B455" t="s">
        <v>1185</v>
      </c>
      <c r="C455">
        <v>39</v>
      </c>
      <c r="D455" t="s">
        <v>92</v>
      </c>
      <c r="E455" t="s">
        <v>93</v>
      </c>
      <c r="F455" t="s">
        <v>92</v>
      </c>
      <c r="G455" t="s">
        <v>39</v>
      </c>
      <c r="H455" s="8" t="s">
        <v>51</v>
      </c>
      <c r="I455" s="9">
        <v>38415.03</v>
      </c>
      <c r="J455" s="9">
        <v>17138.939999999999</v>
      </c>
      <c r="K455" s="8" t="s">
        <v>59</v>
      </c>
      <c r="L455" s="10">
        <v>79776.97</v>
      </c>
      <c r="M455" s="8" t="s">
        <v>29</v>
      </c>
      <c r="N455" s="9">
        <v>51405.27</v>
      </c>
      <c r="O455" s="8" t="s">
        <v>30</v>
      </c>
      <c r="P455" t="str">
        <f>TEXT(Table1[[#This Row],[Transaction_Date]],"mmm")</f>
        <v>Jul</v>
      </c>
      <c r="Q455" s="11">
        <v>45867</v>
      </c>
      <c r="R455" s="8" t="s">
        <v>1186</v>
      </c>
      <c r="S455" s="8" t="s">
        <v>70</v>
      </c>
      <c r="T455" s="9">
        <v>2573.19</v>
      </c>
      <c r="U455" t="s">
        <v>33</v>
      </c>
      <c r="V455" s="8" t="s">
        <v>46</v>
      </c>
      <c r="W455"/>
      <c r="X455"/>
    </row>
    <row r="456" spans="1:24" hidden="1" x14ac:dyDescent="0.3">
      <c r="A456" t="s">
        <v>1187</v>
      </c>
      <c r="B456" t="s">
        <v>1188</v>
      </c>
      <c r="C456">
        <v>18</v>
      </c>
      <c r="D456" t="s">
        <v>24</v>
      </c>
      <c r="E456" t="s">
        <v>25</v>
      </c>
      <c r="F456" t="s">
        <v>24</v>
      </c>
      <c r="G456" t="s">
        <v>80</v>
      </c>
      <c r="H456" s="8" t="s">
        <v>40</v>
      </c>
      <c r="I456" s="9">
        <v>65589.789999999994</v>
      </c>
      <c r="J456" s="9">
        <v>12111.29</v>
      </c>
      <c r="K456" s="8" t="s">
        <v>59</v>
      </c>
      <c r="L456" s="10">
        <v>36198.120000000003</v>
      </c>
      <c r="M456" s="8" t="s">
        <v>29</v>
      </c>
      <c r="N456" s="9">
        <v>7532.79</v>
      </c>
      <c r="O456" s="8" t="s">
        <v>30</v>
      </c>
      <c r="P456" t="str">
        <f>TEXT(Table1[[#This Row],[Transaction_Date]],"mmm")</f>
        <v>Oct</v>
      </c>
      <c r="Q456" s="11">
        <v>45936</v>
      </c>
      <c r="R456" s="8" t="s">
        <v>1189</v>
      </c>
      <c r="S456" s="8" t="s">
        <v>32</v>
      </c>
      <c r="T456" s="9">
        <v>5795.44</v>
      </c>
      <c r="U456" t="s">
        <v>106</v>
      </c>
      <c r="V456" s="8" t="s">
        <v>62</v>
      </c>
      <c r="W456"/>
      <c r="X456"/>
    </row>
    <row r="457" spans="1:24" x14ac:dyDescent="0.3">
      <c r="A457" t="s">
        <v>1190</v>
      </c>
      <c r="B457" t="s">
        <v>188</v>
      </c>
      <c r="C457">
        <v>31</v>
      </c>
      <c r="D457" t="s">
        <v>57</v>
      </c>
      <c r="E457" t="s">
        <v>58</v>
      </c>
      <c r="F457" t="s">
        <v>57</v>
      </c>
      <c r="G457" t="s">
        <v>39</v>
      </c>
      <c r="H457" s="8" t="s">
        <v>40</v>
      </c>
      <c r="I457" s="9">
        <v>62021.67</v>
      </c>
      <c r="J457" s="9">
        <v>3156.31</v>
      </c>
      <c r="K457" s="8" t="s">
        <v>68</v>
      </c>
      <c r="L457" s="10">
        <v>69338.41</v>
      </c>
      <c r="M457" s="8" t="s">
        <v>29</v>
      </c>
      <c r="N457" s="9">
        <v>41281.35</v>
      </c>
      <c r="O457" s="8" t="s">
        <v>30</v>
      </c>
      <c r="P457" t="str">
        <f>TEXT(Table1[[#This Row],[Transaction_Date]],"mmm")</f>
        <v>Mar</v>
      </c>
      <c r="Q457" s="11">
        <v>45743</v>
      </c>
      <c r="R457" s="8" t="s">
        <v>1191</v>
      </c>
      <c r="S457" s="8" t="s">
        <v>70</v>
      </c>
      <c r="T457" s="9">
        <v>4137.3500000000004</v>
      </c>
      <c r="U457" t="s">
        <v>61</v>
      </c>
      <c r="V457" s="8" t="s">
        <v>62</v>
      </c>
      <c r="W457"/>
      <c r="X457"/>
    </row>
    <row r="458" spans="1:24" x14ac:dyDescent="0.3">
      <c r="A458" t="s">
        <v>1192</v>
      </c>
      <c r="B458" t="s">
        <v>1193</v>
      </c>
      <c r="C458">
        <v>49</v>
      </c>
      <c r="D458" t="s">
        <v>97</v>
      </c>
      <c r="E458" t="s">
        <v>98</v>
      </c>
      <c r="F458" t="s">
        <v>97</v>
      </c>
      <c r="G458" t="s">
        <v>39</v>
      </c>
      <c r="H458" s="8" t="s">
        <v>67</v>
      </c>
      <c r="I458" s="9">
        <v>12000</v>
      </c>
      <c r="J458" s="9">
        <v>27024.58</v>
      </c>
      <c r="K458" s="8" t="s">
        <v>52</v>
      </c>
      <c r="L458" s="10">
        <v>112644.63</v>
      </c>
      <c r="M458" s="8" t="s">
        <v>29</v>
      </c>
      <c r="N458" s="9">
        <v>29046.35</v>
      </c>
      <c r="O458" s="8" t="s">
        <v>30</v>
      </c>
      <c r="P458" t="str">
        <f>TEXT(Table1[[#This Row],[Transaction_Date]],"mmm")</f>
        <v>Mar</v>
      </c>
      <c r="Q458" s="11">
        <v>45740</v>
      </c>
      <c r="R458" s="8" t="s">
        <v>1194</v>
      </c>
      <c r="S458" s="8" t="s">
        <v>54</v>
      </c>
      <c r="T458" s="9">
        <v>5475.79</v>
      </c>
      <c r="U458" t="s">
        <v>45</v>
      </c>
      <c r="V458" s="8" t="s">
        <v>34</v>
      </c>
      <c r="W458"/>
      <c r="X458"/>
    </row>
    <row r="459" spans="1:24" hidden="1" x14ac:dyDescent="0.3">
      <c r="A459" t="s">
        <v>1195</v>
      </c>
      <c r="B459" t="s">
        <v>79</v>
      </c>
      <c r="C459">
        <v>18</v>
      </c>
      <c r="D459" t="s">
        <v>92</v>
      </c>
      <c r="E459" t="s">
        <v>93</v>
      </c>
      <c r="F459" t="s">
        <v>92</v>
      </c>
      <c r="G459" t="s">
        <v>80</v>
      </c>
      <c r="H459" s="8" t="s">
        <v>51</v>
      </c>
      <c r="I459" s="9">
        <v>12000</v>
      </c>
      <c r="J459" s="9">
        <v>17716.419999999998</v>
      </c>
      <c r="K459" s="8" t="s">
        <v>74</v>
      </c>
      <c r="L459" s="10">
        <v>0</v>
      </c>
      <c r="M459" s="8" t="s">
        <v>75</v>
      </c>
      <c r="N459" s="9">
        <v>0</v>
      </c>
      <c r="O459" s="8" t="s">
        <v>30</v>
      </c>
      <c r="P459" t="str">
        <f>TEXT(Table1[[#This Row],[Transaction_Date]],"mmm")</f>
        <v>May</v>
      </c>
      <c r="Q459" s="11">
        <v>45780</v>
      </c>
      <c r="R459" s="8" t="s">
        <v>1196</v>
      </c>
      <c r="S459" s="8" t="s">
        <v>70</v>
      </c>
      <c r="T459" s="9">
        <v>2920.73</v>
      </c>
      <c r="U459" t="s">
        <v>33</v>
      </c>
      <c r="V459" s="8" t="s">
        <v>46</v>
      </c>
      <c r="W459"/>
      <c r="X459"/>
    </row>
    <row r="460" spans="1:24" hidden="1" x14ac:dyDescent="0.3">
      <c r="A460" t="s">
        <v>1197</v>
      </c>
      <c r="B460" t="s">
        <v>847</v>
      </c>
      <c r="C460">
        <v>50</v>
      </c>
      <c r="D460" t="s">
        <v>37</v>
      </c>
      <c r="E460" t="s">
        <v>38</v>
      </c>
      <c r="F460" t="s">
        <v>37</v>
      </c>
      <c r="G460" t="s">
        <v>80</v>
      </c>
      <c r="H460" s="8" t="s">
        <v>40</v>
      </c>
      <c r="I460" s="9">
        <v>57288.4</v>
      </c>
      <c r="J460" s="9">
        <v>23494.25</v>
      </c>
      <c r="K460" s="8" t="s">
        <v>59</v>
      </c>
      <c r="L460" s="10">
        <v>75820.800000000003</v>
      </c>
      <c r="M460" s="8" t="s">
        <v>29</v>
      </c>
      <c r="N460" s="9">
        <v>37783.78</v>
      </c>
      <c r="O460" s="8" t="s">
        <v>30</v>
      </c>
      <c r="P460" t="str">
        <f>TEXT(Table1[[#This Row],[Transaction_Date]],"mmm")</f>
        <v>Mar</v>
      </c>
      <c r="Q460" s="11">
        <v>45725</v>
      </c>
      <c r="R460" s="8" t="s">
        <v>1198</v>
      </c>
      <c r="S460" s="8" t="s">
        <v>44</v>
      </c>
      <c r="T460" s="9">
        <v>5369.89</v>
      </c>
      <c r="U460" t="s">
        <v>45</v>
      </c>
      <c r="V460" s="8" t="s">
        <v>62</v>
      </c>
      <c r="W460"/>
      <c r="X460"/>
    </row>
    <row r="461" spans="1:24" hidden="1" x14ac:dyDescent="0.3">
      <c r="A461" t="s">
        <v>1199</v>
      </c>
      <c r="B461" t="s">
        <v>191</v>
      </c>
      <c r="C461">
        <v>46</v>
      </c>
      <c r="D461" t="s">
        <v>92</v>
      </c>
      <c r="E461" t="s">
        <v>93</v>
      </c>
      <c r="F461" t="s">
        <v>92</v>
      </c>
      <c r="G461" t="s">
        <v>26</v>
      </c>
      <c r="H461" s="8" t="s">
        <v>40</v>
      </c>
      <c r="I461" s="9">
        <v>45095.24</v>
      </c>
      <c r="J461" s="9">
        <v>30934.06</v>
      </c>
      <c r="K461" s="8" t="s">
        <v>74</v>
      </c>
      <c r="L461" s="10">
        <v>0</v>
      </c>
      <c r="M461" s="8" t="s">
        <v>75</v>
      </c>
      <c r="N461" s="9">
        <v>0</v>
      </c>
      <c r="O461" s="8" t="s">
        <v>30</v>
      </c>
      <c r="P461" t="str">
        <f>TEXT(Table1[[#This Row],[Transaction_Date]],"mmm")</f>
        <v>Sep</v>
      </c>
      <c r="Q461" s="11">
        <v>45914</v>
      </c>
      <c r="R461" s="8" t="s">
        <v>1200</v>
      </c>
      <c r="S461" s="8" t="s">
        <v>54</v>
      </c>
      <c r="T461" s="9">
        <v>4994.51</v>
      </c>
      <c r="U461" t="s">
        <v>45</v>
      </c>
      <c r="V461" s="8" t="s">
        <v>34</v>
      </c>
      <c r="W461"/>
      <c r="X461"/>
    </row>
    <row r="462" spans="1:24" x14ac:dyDescent="0.3">
      <c r="A462" t="s">
        <v>1201</v>
      </c>
      <c r="B462" t="s">
        <v>409</v>
      </c>
      <c r="C462">
        <v>54</v>
      </c>
      <c r="D462" t="s">
        <v>92</v>
      </c>
      <c r="E462" t="s">
        <v>93</v>
      </c>
      <c r="F462" t="s">
        <v>92</v>
      </c>
      <c r="G462" t="s">
        <v>39</v>
      </c>
      <c r="H462" s="8" t="s">
        <v>67</v>
      </c>
      <c r="I462" s="9">
        <v>12000</v>
      </c>
      <c r="J462" s="9">
        <v>22751.4</v>
      </c>
      <c r="K462" s="8" t="s">
        <v>74</v>
      </c>
      <c r="L462" s="10">
        <v>0</v>
      </c>
      <c r="M462" s="8" t="s">
        <v>75</v>
      </c>
      <c r="N462" s="9">
        <v>0</v>
      </c>
      <c r="O462" s="8" t="s">
        <v>30</v>
      </c>
      <c r="P462" t="str">
        <f>TEXT(Table1[[#This Row],[Transaction_Date]],"mmm")</f>
        <v>Aug</v>
      </c>
      <c r="Q462" s="11">
        <v>45880</v>
      </c>
      <c r="R462" s="8" t="s">
        <v>1202</v>
      </c>
      <c r="S462" s="8" t="s">
        <v>44</v>
      </c>
      <c r="T462" s="9">
        <v>9412.42</v>
      </c>
      <c r="U462" t="s">
        <v>61</v>
      </c>
      <c r="V462" s="8" t="s">
        <v>34</v>
      </c>
      <c r="W462"/>
      <c r="X462"/>
    </row>
    <row r="463" spans="1:24" hidden="1" x14ac:dyDescent="0.3">
      <c r="A463" t="s">
        <v>1203</v>
      </c>
      <c r="B463" t="s">
        <v>1185</v>
      </c>
      <c r="C463">
        <v>32</v>
      </c>
      <c r="D463" t="s">
        <v>37</v>
      </c>
      <c r="E463" t="s">
        <v>38</v>
      </c>
      <c r="F463" t="s">
        <v>37</v>
      </c>
      <c r="G463" t="s">
        <v>26</v>
      </c>
      <c r="H463" s="8" t="s">
        <v>40</v>
      </c>
      <c r="I463" s="9">
        <v>55999.74</v>
      </c>
      <c r="J463" s="9">
        <v>34678.07</v>
      </c>
      <c r="K463" s="8" t="s">
        <v>59</v>
      </c>
      <c r="L463" s="10">
        <v>188956.86</v>
      </c>
      <c r="M463" s="8" t="s">
        <v>42</v>
      </c>
      <c r="N463" s="9">
        <v>0</v>
      </c>
      <c r="O463" s="8" t="s">
        <v>30</v>
      </c>
      <c r="P463" t="str">
        <f>TEXT(Table1[[#This Row],[Transaction_Date]],"mmm")</f>
        <v>Dec</v>
      </c>
      <c r="Q463" s="11">
        <v>46005</v>
      </c>
      <c r="R463" s="8" t="s">
        <v>1204</v>
      </c>
      <c r="S463" s="8" t="s">
        <v>32</v>
      </c>
      <c r="T463" s="9">
        <v>208.1</v>
      </c>
      <c r="U463" t="s">
        <v>71</v>
      </c>
      <c r="V463" s="8" t="s">
        <v>62</v>
      </c>
      <c r="W463"/>
      <c r="X463"/>
    </row>
    <row r="464" spans="1:24" x14ac:dyDescent="0.3">
      <c r="A464" t="s">
        <v>1205</v>
      </c>
      <c r="B464" t="s">
        <v>742</v>
      </c>
      <c r="C464">
        <v>36</v>
      </c>
      <c r="D464" t="s">
        <v>49</v>
      </c>
      <c r="E464" t="s">
        <v>50</v>
      </c>
      <c r="F464" t="s">
        <v>49</v>
      </c>
      <c r="G464" t="s">
        <v>39</v>
      </c>
      <c r="H464" s="8" t="s">
        <v>40</v>
      </c>
      <c r="I464" s="9">
        <v>48656.04</v>
      </c>
      <c r="J464" s="9">
        <v>39744.730000000003</v>
      </c>
      <c r="K464" s="8" t="s">
        <v>68</v>
      </c>
      <c r="L464" s="10">
        <v>112910.15</v>
      </c>
      <c r="M464" s="8" t="s">
        <v>29</v>
      </c>
      <c r="N464" s="9">
        <v>81511.100000000006</v>
      </c>
      <c r="O464" s="8" t="s">
        <v>30</v>
      </c>
      <c r="P464" t="str">
        <f>TEXT(Table1[[#This Row],[Transaction_Date]],"mmm")</f>
        <v>Aug</v>
      </c>
      <c r="Q464" s="11">
        <v>45874</v>
      </c>
      <c r="R464" s="8" t="s">
        <v>1206</v>
      </c>
      <c r="S464" s="8" t="s">
        <v>44</v>
      </c>
      <c r="T464" s="9">
        <v>2926.77</v>
      </c>
      <c r="U464" t="s">
        <v>106</v>
      </c>
      <c r="V464" s="8" t="s">
        <v>62</v>
      </c>
      <c r="W464"/>
      <c r="X464"/>
    </row>
    <row r="465" spans="1:24" hidden="1" x14ac:dyDescent="0.3">
      <c r="A465" t="s">
        <v>1207</v>
      </c>
      <c r="B465" t="s">
        <v>1208</v>
      </c>
      <c r="C465">
        <v>25</v>
      </c>
      <c r="D465" t="s">
        <v>84</v>
      </c>
      <c r="E465" t="s">
        <v>85</v>
      </c>
      <c r="F465" t="s">
        <v>84</v>
      </c>
      <c r="G465" t="s">
        <v>26</v>
      </c>
      <c r="H465" s="8" t="s">
        <v>40</v>
      </c>
      <c r="I465" s="9">
        <v>49241.32</v>
      </c>
      <c r="J465" s="9">
        <v>34905.39</v>
      </c>
      <c r="K465" s="8" t="s">
        <v>74</v>
      </c>
      <c r="L465" s="10">
        <v>0</v>
      </c>
      <c r="M465" s="8" t="s">
        <v>75</v>
      </c>
      <c r="N465" s="9">
        <v>0</v>
      </c>
      <c r="O465" s="8" t="s">
        <v>30</v>
      </c>
      <c r="P465" t="str">
        <f>TEXT(Table1[[#This Row],[Transaction_Date]],"mmm")</f>
        <v>Mar</v>
      </c>
      <c r="Q465" s="11">
        <v>45731</v>
      </c>
      <c r="R465" s="8" t="s">
        <v>1209</v>
      </c>
      <c r="S465" s="8" t="s">
        <v>44</v>
      </c>
      <c r="T465" s="9">
        <v>1386.67</v>
      </c>
      <c r="U465" t="s">
        <v>106</v>
      </c>
      <c r="V465" s="8" t="s">
        <v>46</v>
      </c>
      <c r="W465"/>
      <c r="X465"/>
    </row>
    <row r="466" spans="1:24" hidden="1" x14ac:dyDescent="0.3">
      <c r="A466" t="s">
        <v>1210</v>
      </c>
      <c r="B466" t="s">
        <v>962</v>
      </c>
      <c r="C466">
        <v>50</v>
      </c>
      <c r="D466" t="s">
        <v>65</v>
      </c>
      <c r="E466" t="s">
        <v>66</v>
      </c>
      <c r="F466" t="s">
        <v>65</v>
      </c>
      <c r="G466" t="s">
        <v>80</v>
      </c>
      <c r="H466" s="8" t="s">
        <v>40</v>
      </c>
      <c r="I466" s="9">
        <v>12000</v>
      </c>
      <c r="J466" s="9">
        <v>18843.43</v>
      </c>
      <c r="K466" s="8" t="s">
        <v>68</v>
      </c>
      <c r="L466" s="10">
        <v>25000</v>
      </c>
      <c r="M466" s="8" t="s">
        <v>42</v>
      </c>
      <c r="N466" s="9">
        <v>0</v>
      </c>
      <c r="O466" s="8" t="s">
        <v>30</v>
      </c>
      <c r="P466" t="str">
        <f>TEXT(Table1[[#This Row],[Transaction_Date]],"mmm")</f>
        <v>Aug</v>
      </c>
      <c r="Q466" s="11">
        <v>45883</v>
      </c>
      <c r="R466" s="8" t="s">
        <v>1211</v>
      </c>
      <c r="S466" s="8" t="s">
        <v>54</v>
      </c>
      <c r="T466" s="9">
        <v>1380.22</v>
      </c>
      <c r="U466" t="s">
        <v>33</v>
      </c>
      <c r="V466" s="8" t="s">
        <v>62</v>
      </c>
      <c r="W466"/>
      <c r="X466"/>
    </row>
    <row r="467" spans="1:24" hidden="1" x14ac:dyDescent="0.3">
      <c r="A467" t="s">
        <v>1212</v>
      </c>
      <c r="B467" t="s">
        <v>969</v>
      </c>
      <c r="C467">
        <v>31</v>
      </c>
      <c r="D467" t="s">
        <v>57</v>
      </c>
      <c r="E467" t="s">
        <v>58</v>
      </c>
      <c r="F467" t="s">
        <v>57</v>
      </c>
      <c r="G467" t="s">
        <v>26</v>
      </c>
      <c r="H467" s="8" t="s">
        <v>27</v>
      </c>
      <c r="I467" s="9">
        <v>83673.41</v>
      </c>
      <c r="J467" s="9">
        <v>19440.22</v>
      </c>
      <c r="K467" s="8" t="s">
        <v>59</v>
      </c>
      <c r="L467" s="10">
        <v>65038.91</v>
      </c>
      <c r="M467" s="8" t="s">
        <v>42</v>
      </c>
      <c r="N467" s="9">
        <v>0</v>
      </c>
      <c r="O467" s="8" t="s">
        <v>30</v>
      </c>
      <c r="P467" t="str">
        <f>TEXT(Table1[[#This Row],[Transaction_Date]],"mmm")</f>
        <v>Feb</v>
      </c>
      <c r="Q467" s="11">
        <v>45705</v>
      </c>
      <c r="R467" s="8" t="s">
        <v>1213</v>
      </c>
      <c r="S467" s="8" t="s">
        <v>44</v>
      </c>
      <c r="T467" s="9">
        <v>1827.61</v>
      </c>
      <c r="U467" t="s">
        <v>77</v>
      </c>
      <c r="V467" s="8" t="s">
        <v>62</v>
      </c>
      <c r="W467"/>
      <c r="X467"/>
    </row>
    <row r="468" spans="1:24" x14ac:dyDescent="0.3">
      <c r="A468" t="s">
        <v>1214</v>
      </c>
      <c r="B468" t="s">
        <v>251</v>
      </c>
      <c r="C468">
        <v>40</v>
      </c>
      <c r="D468" t="s">
        <v>49</v>
      </c>
      <c r="E468" t="s">
        <v>50</v>
      </c>
      <c r="F468" t="s">
        <v>49</v>
      </c>
      <c r="G468" t="s">
        <v>39</v>
      </c>
      <c r="H468" s="8" t="s">
        <v>67</v>
      </c>
      <c r="I468" s="9">
        <v>41820.44</v>
      </c>
      <c r="J468" s="9">
        <v>7751.3</v>
      </c>
      <c r="K468" s="8" t="s">
        <v>28</v>
      </c>
      <c r="L468" s="10">
        <v>182626.59</v>
      </c>
      <c r="M468" s="8" t="s">
        <v>29</v>
      </c>
      <c r="N468" s="9">
        <v>71682.84</v>
      </c>
      <c r="O468" s="8" t="s">
        <v>30</v>
      </c>
      <c r="P468" t="str">
        <f>TEXT(Table1[[#This Row],[Transaction_Date]],"mmm")</f>
        <v>Feb</v>
      </c>
      <c r="Q468" s="11">
        <v>45707</v>
      </c>
      <c r="R468" s="8" t="s">
        <v>1215</v>
      </c>
      <c r="S468" s="8" t="s">
        <v>32</v>
      </c>
      <c r="T468" s="9">
        <v>690.23</v>
      </c>
      <c r="U468" t="s">
        <v>106</v>
      </c>
      <c r="V468" s="8" t="s">
        <v>62</v>
      </c>
      <c r="W468"/>
      <c r="X468"/>
    </row>
    <row r="469" spans="1:24" x14ac:dyDescent="0.3">
      <c r="A469" t="s">
        <v>1216</v>
      </c>
      <c r="B469" t="s">
        <v>197</v>
      </c>
      <c r="C469">
        <v>18</v>
      </c>
      <c r="D469" t="s">
        <v>65</v>
      </c>
      <c r="E469" t="s">
        <v>66</v>
      </c>
      <c r="F469" t="s">
        <v>65</v>
      </c>
      <c r="G469" t="s">
        <v>39</v>
      </c>
      <c r="H469" s="8" t="s">
        <v>40</v>
      </c>
      <c r="I469" s="9">
        <v>34412.85</v>
      </c>
      <c r="J469" s="9">
        <v>29912.34</v>
      </c>
      <c r="K469" s="8" t="s">
        <v>74</v>
      </c>
      <c r="L469" s="10">
        <v>0</v>
      </c>
      <c r="M469" s="8" t="s">
        <v>75</v>
      </c>
      <c r="N469" s="9">
        <v>0</v>
      </c>
      <c r="O469" s="8" t="s">
        <v>30</v>
      </c>
      <c r="P469" t="str">
        <f>TEXT(Table1[[#This Row],[Transaction_Date]],"mmm")</f>
        <v>Mar</v>
      </c>
      <c r="Q469" s="11">
        <v>45745</v>
      </c>
      <c r="R469" s="8" t="s">
        <v>1217</v>
      </c>
      <c r="S469" s="8" t="s">
        <v>32</v>
      </c>
      <c r="T469" s="9">
        <v>2714.44</v>
      </c>
      <c r="U469" t="s">
        <v>106</v>
      </c>
      <c r="V469" s="8" t="s">
        <v>62</v>
      </c>
      <c r="W469"/>
      <c r="X469"/>
    </row>
    <row r="470" spans="1:24" hidden="1" x14ac:dyDescent="0.3">
      <c r="A470" t="s">
        <v>1218</v>
      </c>
      <c r="B470" t="s">
        <v>957</v>
      </c>
      <c r="C470">
        <v>22</v>
      </c>
      <c r="D470" t="s">
        <v>65</v>
      </c>
      <c r="E470" t="s">
        <v>66</v>
      </c>
      <c r="F470" t="s">
        <v>65</v>
      </c>
      <c r="G470" t="s">
        <v>80</v>
      </c>
      <c r="H470" s="8" t="s">
        <v>27</v>
      </c>
      <c r="I470" s="9">
        <v>61776.22</v>
      </c>
      <c r="J470" s="9">
        <v>17118.77</v>
      </c>
      <c r="K470" s="8" t="s">
        <v>74</v>
      </c>
      <c r="L470" s="10">
        <v>0</v>
      </c>
      <c r="M470" s="8" t="s">
        <v>75</v>
      </c>
      <c r="N470" s="9">
        <v>0</v>
      </c>
      <c r="O470" s="8" t="s">
        <v>30</v>
      </c>
      <c r="P470" t="str">
        <f>TEXT(Table1[[#This Row],[Transaction_Date]],"mmm")</f>
        <v>Feb</v>
      </c>
      <c r="Q470" s="11">
        <v>45689</v>
      </c>
      <c r="R470" s="8" t="s">
        <v>1219</v>
      </c>
      <c r="S470" s="8" t="s">
        <v>70</v>
      </c>
      <c r="T470" s="9">
        <v>810.1</v>
      </c>
      <c r="U470" t="s">
        <v>61</v>
      </c>
      <c r="V470" s="8" t="s">
        <v>46</v>
      </c>
      <c r="W470"/>
      <c r="X470"/>
    </row>
    <row r="471" spans="1:24" x14ac:dyDescent="0.3">
      <c r="A471" t="s">
        <v>1220</v>
      </c>
      <c r="B471" t="s">
        <v>626</v>
      </c>
      <c r="C471">
        <v>23</v>
      </c>
      <c r="D471" t="s">
        <v>24</v>
      </c>
      <c r="E471" t="s">
        <v>25</v>
      </c>
      <c r="F471" t="s">
        <v>24</v>
      </c>
      <c r="G471" t="s">
        <v>39</v>
      </c>
      <c r="H471" s="8" t="s">
        <v>40</v>
      </c>
      <c r="I471" s="9">
        <v>55647.58</v>
      </c>
      <c r="J471" s="9">
        <v>14078.54</v>
      </c>
      <c r="K471" s="8" t="s">
        <v>74</v>
      </c>
      <c r="L471" s="10">
        <v>0</v>
      </c>
      <c r="M471" s="8" t="s">
        <v>75</v>
      </c>
      <c r="N471" s="9">
        <v>0</v>
      </c>
      <c r="O471" s="8" t="s">
        <v>30</v>
      </c>
      <c r="P471" t="str">
        <f>TEXT(Table1[[#This Row],[Transaction_Date]],"mmm")</f>
        <v>Nov</v>
      </c>
      <c r="Q471" s="11">
        <v>45967</v>
      </c>
      <c r="R471" s="8" t="s">
        <v>1221</v>
      </c>
      <c r="S471" s="8" t="s">
        <v>44</v>
      </c>
      <c r="T471" s="9">
        <v>842.54</v>
      </c>
      <c r="U471" t="s">
        <v>106</v>
      </c>
      <c r="V471" s="8" t="s">
        <v>62</v>
      </c>
      <c r="W471"/>
      <c r="X471"/>
    </row>
    <row r="472" spans="1:24" hidden="1" x14ac:dyDescent="0.3">
      <c r="A472" t="s">
        <v>1222</v>
      </c>
      <c r="B472" t="s">
        <v>227</v>
      </c>
      <c r="C472">
        <v>18</v>
      </c>
      <c r="D472" t="s">
        <v>65</v>
      </c>
      <c r="E472" t="s">
        <v>66</v>
      </c>
      <c r="F472" t="s">
        <v>65</v>
      </c>
      <c r="G472" t="s">
        <v>51</v>
      </c>
      <c r="H472" s="8" t="s">
        <v>27</v>
      </c>
      <c r="I472" s="9">
        <v>33860.43</v>
      </c>
      <c r="J472" s="9">
        <v>3277.19</v>
      </c>
      <c r="K472" s="8" t="s">
        <v>41</v>
      </c>
      <c r="L472" s="10">
        <v>89123.36</v>
      </c>
      <c r="M472" s="8" t="s">
        <v>29</v>
      </c>
      <c r="N472" s="9">
        <v>65014.85</v>
      </c>
      <c r="O472" s="8" t="s">
        <v>30</v>
      </c>
      <c r="P472" t="str">
        <f>TEXT(Table1[[#This Row],[Transaction_Date]],"mmm")</f>
        <v>Jun</v>
      </c>
      <c r="Q472" s="11">
        <v>45813</v>
      </c>
      <c r="R472" s="8" t="s">
        <v>1223</v>
      </c>
      <c r="S472" s="8" t="s">
        <v>44</v>
      </c>
      <c r="T472" s="9">
        <v>8706.49</v>
      </c>
      <c r="U472" t="s">
        <v>106</v>
      </c>
      <c r="V472" s="8" t="s">
        <v>46</v>
      </c>
      <c r="W472"/>
      <c r="X472"/>
    </row>
    <row r="473" spans="1:24" hidden="1" x14ac:dyDescent="0.3">
      <c r="A473" t="s">
        <v>1224</v>
      </c>
      <c r="B473" t="s">
        <v>73</v>
      </c>
      <c r="C473">
        <v>39</v>
      </c>
      <c r="D473" t="s">
        <v>65</v>
      </c>
      <c r="E473" t="s">
        <v>66</v>
      </c>
      <c r="F473" t="s">
        <v>65</v>
      </c>
      <c r="G473" t="s">
        <v>26</v>
      </c>
      <c r="H473" s="8" t="s">
        <v>40</v>
      </c>
      <c r="I473" s="9">
        <v>97487.57</v>
      </c>
      <c r="J473" s="9">
        <v>28354.93</v>
      </c>
      <c r="K473" s="8" t="s">
        <v>59</v>
      </c>
      <c r="L473" s="10">
        <v>36615.769999999997</v>
      </c>
      <c r="M473" s="8" t="s">
        <v>29</v>
      </c>
      <c r="N473" s="9">
        <v>14546.32</v>
      </c>
      <c r="O473" s="8" t="s">
        <v>30</v>
      </c>
      <c r="P473" t="str">
        <f>TEXT(Table1[[#This Row],[Transaction_Date]],"mmm")</f>
        <v>Jun</v>
      </c>
      <c r="Q473" s="11">
        <v>45815</v>
      </c>
      <c r="R473" s="8" t="s">
        <v>1225</v>
      </c>
      <c r="S473" s="8" t="s">
        <v>44</v>
      </c>
      <c r="T473" s="9">
        <v>485.53</v>
      </c>
      <c r="U473" t="s">
        <v>475</v>
      </c>
      <c r="V473" s="8" t="s">
        <v>62</v>
      </c>
      <c r="W473"/>
      <c r="X473"/>
    </row>
    <row r="474" spans="1:24" hidden="1" x14ac:dyDescent="0.3">
      <c r="A474" t="s">
        <v>1226</v>
      </c>
      <c r="B474" t="s">
        <v>533</v>
      </c>
      <c r="C474">
        <v>23</v>
      </c>
      <c r="D474" t="s">
        <v>92</v>
      </c>
      <c r="E474" t="s">
        <v>93</v>
      </c>
      <c r="F474" t="s">
        <v>92</v>
      </c>
      <c r="G474" t="s">
        <v>26</v>
      </c>
      <c r="H474" s="8" t="s">
        <v>67</v>
      </c>
      <c r="I474" s="9">
        <v>34432.74</v>
      </c>
      <c r="J474" s="9">
        <v>19688.89</v>
      </c>
      <c r="K474" s="8" t="s">
        <v>41</v>
      </c>
      <c r="L474" s="10">
        <v>47427.37</v>
      </c>
      <c r="M474" s="8" t="s">
        <v>29</v>
      </c>
      <c r="N474" s="9">
        <v>21885.45</v>
      </c>
      <c r="O474" s="8" t="s">
        <v>30</v>
      </c>
      <c r="P474" t="str">
        <f>TEXT(Table1[[#This Row],[Transaction_Date]],"mmm")</f>
        <v>Oct</v>
      </c>
      <c r="Q474" s="11">
        <v>45944</v>
      </c>
      <c r="R474" s="8" t="s">
        <v>1227</v>
      </c>
      <c r="S474" s="8" t="s">
        <v>54</v>
      </c>
      <c r="T474" s="9">
        <v>4900.3500000000004</v>
      </c>
      <c r="U474" t="s">
        <v>77</v>
      </c>
      <c r="V474" s="8" t="s">
        <v>62</v>
      </c>
      <c r="W474"/>
      <c r="X474"/>
    </row>
    <row r="475" spans="1:24" hidden="1" x14ac:dyDescent="0.3">
      <c r="A475" t="s">
        <v>1228</v>
      </c>
      <c r="B475" t="s">
        <v>304</v>
      </c>
      <c r="C475">
        <v>54</v>
      </c>
      <c r="D475" t="s">
        <v>84</v>
      </c>
      <c r="E475" t="s">
        <v>85</v>
      </c>
      <c r="F475" t="s">
        <v>84</v>
      </c>
      <c r="G475" t="s">
        <v>80</v>
      </c>
      <c r="H475" s="8" t="s">
        <v>40</v>
      </c>
      <c r="I475" s="9">
        <v>52390.6</v>
      </c>
      <c r="J475" s="9">
        <v>41693.5</v>
      </c>
      <c r="K475" s="8" t="s">
        <v>59</v>
      </c>
      <c r="L475" s="10">
        <v>25000</v>
      </c>
      <c r="M475" s="8" t="s">
        <v>29</v>
      </c>
      <c r="N475" s="9">
        <v>17555.21</v>
      </c>
      <c r="O475" s="8" t="s">
        <v>228</v>
      </c>
      <c r="P475" t="str">
        <f>TEXT(Table1[[#This Row],[Transaction_Date]],"mmm")</f>
        <v>Jul</v>
      </c>
      <c r="Q475" s="11">
        <v>45840</v>
      </c>
      <c r="R475" s="8" t="s">
        <v>1229</v>
      </c>
      <c r="S475" s="8" t="s">
        <v>54</v>
      </c>
      <c r="T475" s="9">
        <v>1253.46</v>
      </c>
      <c r="U475" t="s">
        <v>71</v>
      </c>
      <c r="V475" s="8" t="s">
        <v>46</v>
      </c>
      <c r="W475"/>
      <c r="X475"/>
    </row>
    <row r="476" spans="1:24" hidden="1" x14ac:dyDescent="0.3">
      <c r="A476" t="s">
        <v>1230</v>
      </c>
      <c r="B476" t="s">
        <v>114</v>
      </c>
      <c r="C476">
        <v>46</v>
      </c>
      <c r="D476" t="s">
        <v>49</v>
      </c>
      <c r="E476" t="s">
        <v>50</v>
      </c>
      <c r="F476" t="s">
        <v>49</v>
      </c>
      <c r="G476" t="s">
        <v>26</v>
      </c>
      <c r="H476" s="8" t="s">
        <v>40</v>
      </c>
      <c r="I476" s="9">
        <v>50501.86</v>
      </c>
      <c r="J476" s="9">
        <v>15738.28</v>
      </c>
      <c r="K476" s="8" t="s">
        <v>68</v>
      </c>
      <c r="L476" s="10">
        <v>52962.49</v>
      </c>
      <c r="M476" s="8" t="s">
        <v>29</v>
      </c>
      <c r="N476" s="9">
        <v>28223.29</v>
      </c>
      <c r="O476" s="8" t="s">
        <v>30</v>
      </c>
      <c r="P476" t="str">
        <f>TEXT(Table1[[#This Row],[Transaction_Date]],"mmm")</f>
        <v>Jan</v>
      </c>
      <c r="Q476" s="11">
        <v>45685</v>
      </c>
      <c r="R476" s="8" t="s">
        <v>1231</v>
      </c>
      <c r="S476" s="8" t="s">
        <v>44</v>
      </c>
      <c r="T476" s="9">
        <v>290.33999999999997</v>
      </c>
      <c r="U476" t="s">
        <v>45</v>
      </c>
      <c r="V476" s="8" t="s">
        <v>62</v>
      </c>
      <c r="W476"/>
      <c r="X476"/>
    </row>
    <row r="477" spans="1:24" hidden="1" x14ac:dyDescent="0.3">
      <c r="A477" t="s">
        <v>1232</v>
      </c>
      <c r="B477" t="s">
        <v>1233</v>
      </c>
      <c r="C477">
        <v>31</v>
      </c>
      <c r="D477" t="s">
        <v>92</v>
      </c>
      <c r="E477" t="s">
        <v>93</v>
      </c>
      <c r="F477" t="s">
        <v>92</v>
      </c>
      <c r="G477" t="s">
        <v>80</v>
      </c>
      <c r="H477" s="8" t="s">
        <v>51</v>
      </c>
      <c r="I477" s="9">
        <v>26658.97</v>
      </c>
      <c r="J477" s="9">
        <v>19487.71</v>
      </c>
      <c r="K477" s="8" t="s">
        <v>68</v>
      </c>
      <c r="L477" s="10">
        <v>79680.87</v>
      </c>
      <c r="M477" s="8" t="s">
        <v>29</v>
      </c>
      <c r="N477" s="9">
        <v>67378.789999999994</v>
      </c>
      <c r="O477" s="8" t="s">
        <v>30</v>
      </c>
      <c r="P477" t="str">
        <f>TEXT(Table1[[#This Row],[Transaction_Date]],"mmm")</f>
        <v>Apr</v>
      </c>
      <c r="Q477" s="11">
        <v>45757</v>
      </c>
      <c r="R477" s="8" t="s">
        <v>1234</v>
      </c>
      <c r="S477" s="8" t="s">
        <v>54</v>
      </c>
      <c r="T477" s="9">
        <v>5939.11</v>
      </c>
      <c r="U477" t="s">
        <v>106</v>
      </c>
      <c r="V477" s="8" t="s">
        <v>62</v>
      </c>
      <c r="W477"/>
      <c r="X477"/>
    </row>
    <row r="478" spans="1:24" hidden="1" x14ac:dyDescent="0.3">
      <c r="A478" t="s">
        <v>1235</v>
      </c>
      <c r="B478" t="s">
        <v>455</v>
      </c>
      <c r="C478">
        <v>21</v>
      </c>
      <c r="D478" t="s">
        <v>24</v>
      </c>
      <c r="E478" t="s">
        <v>25</v>
      </c>
      <c r="F478" t="s">
        <v>24</v>
      </c>
      <c r="G478" t="s">
        <v>26</v>
      </c>
      <c r="H478" s="8" t="s">
        <v>27</v>
      </c>
      <c r="I478" s="9">
        <v>45560.99</v>
      </c>
      <c r="J478" s="9">
        <v>65006.33</v>
      </c>
      <c r="K478" s="8" t="s">
        <v>68</v>
      </c>
      <c r="L478" s="10">
        <v>85140.37</v>
      </c>
      <c r="M478" s="8" t="s">
        <v>42</v>
      </c>
      <c r="N478" s="9">
        <v>0</v>
      </c>
      <c r="O478" s="8" t="s">
        <v>30</v>
      </c>
      <c r="P478" t="str">
        <f>TEXT(Table1[[#This Row],[Transaction_Date]],"mmm")</f>
        <v>May</v>
      </c>
      <c r="Q478" s="11">
        <v>45779</v>
      </c>
      <c r="R478" s="8" t="s">
        <v>1236</v>
      </c>
      <c r="S478" s="8" t="s">
        <v>54</v>
      </c>
      <c r="T478" s="9">
        <v>11136.75</v>
      </c>
      <c r="U478" t="s">
        <v>71</v>
      </c>
      <c r="V478" s="8" t="s">
        <v>62</v>
      </c>
      <c r="W478"/>
      <c r="X478"/>
    </row>
    <row r="479" spans="1:24" x14ac:dyDescent="0.3">
      <c r="A479" t="s">
        <v>1237</v>
      </c>
      <c r="B479" t="s">
        <v>282</v>
      </c>
      <c r="C479">
        <v>41</v>
      </c>
      <c r="D479" t="s">
        <v>37</v>
      </c>
      <c r="E479" t="s">
        <v>38</v>
      </c>
      <c r="F479" t="s">
        <v>37</v>
      </c>
      <c r="G479" t="s">
        <v>39</v>
      </c>
      <c r="H479" s="8" t="s">
        <v>40</v>
      </c>
      <c r="I479" s="9">
        <v>78713.16</v>
      </c>
      <c r="J479" s="9">
        <v>32108.98</v>
      </c>
      <c r="K479" s="8" t="s">
        <v>74</v>
      </c>
      <c r="L479" s="10">
        <v>0</v>
      </c>
      <c r="M479" s="8" t="s">
        <v>75</v>
      </c>
      <c r="N479" s="9">
        <v>0</v>
      </c>
      <c r="O479" s="8" t="s">
        <v>30</v>
      </c>
      <c r="P479" t="str">
        <f>TEXT(Table1[[#This Row],[Transaction_Date]],"mmm")</f>
        <v>May</v>
      </c>
      <c r="Q479" s="11">
        <v>45799</v>
      </c>
      <c r="R479" s="8" t="s">
        <v>1238</v>
      </c>
      <c r="S479" s="8" t="s">
        <v>32</v>
      </c>
      <c r="T479" s="9">
        <v>6084.04</v>
      </c>
      <c r="U479" t="s">
        <v>45</v>
      </c>
      <c r="V479" s="8" t="s">
        <v>34</v>
      </c>
      <c r="W479"/>
      <c r="X479"/>
    </row>
    <row r="480" spans="1:24" x14ac:dyDescent="0.3">
      <c r="A480" t="s">
        <v>1239</v>
      </c>
      <c r="B480" t="s">
        <v>854</v>
      </c>
      <c r="C480">
        <v>40</v>
      </c>
      <c r="D480" t="s">
        <v>65</v>
      </c>
      <c r="E480" t="s">
        <v>66</v>
      </c>
      <c r="F480" t="s">
        <v>65</v>
      </c>
      <c r="G480" t="s">
        <v>39</v>
      </c>
      <c r="H480" s="8" t="s">
        <v>27</v>
      </c>
      <c r="I480" s="9">
        <v>79019.72</v>
      </c>
      <c r="J480" s="9">
        <v>25085.200000000001</v>
      </c>
      <c r="K480" s="8" t="s">
        <v>59</v>
      </c>
      <c r="L480" s="10">
        <v>56802.45</v>
      </c>
      <c r="M480" s="8" t="s">
        <v>29</v>
      </c>
      <c r="N480" s="9">
        <v>11904.32</v>
      </c>
      <c r="O480" s="8" t="s">
        <v>30</v>
      </c>
      <c r="P480" t="str">
        <f>TEXT(Table1[[#This Row],[Transaction_Date]],"mmm")</f>
        <v>Jul</v>
      </c>
      <c r="Q480" s="11">
        <v>45844</v>
      </c>
      <c r="R480" s="8" t="s">
        <v>1240</v>
      </c>
      <c r="S480" s="8" t="s">
        <v>44</v>
      </c>
      <c r="T480" s="9">
        <v>215.37</v>
      </c>
      <c r="U480" t="s">
        <v>71</v>
      </c>
      <c r="V480" s="8" t="s">
        <v>62</v>
      </c>
      <c r="W480"/>
      <c r="X480"/>
    </row>
    <row r="481" spans="1:24" x14ac:dyDescent="0.3">
      <c r="A481" t="s">
        <v>1241</v>
      </c>
      <c r="B481" t="s">
        <v>206</v>
      </c>
      <c r="C481">
        <v>18</v>
      </c>
      <c r="D481" t="s">
        <v>65</v>
      </c>
      <c r="E481" t="s">
        <v>66</v>
      </c>
      <c r="F481" t="s">
        <v>65</v>
      </c>
      <c r="G481" t="s">
        <v>39</v>
      </c>
      <c r="H481" s="8" t="s">
        <v>51</v>
      </c>
      <c r="I481" s="9">
        <v>64440.5</v>
      </c>
      <c r="J481" s="9">
        <v>22510.1</v>
      </c>
      <c r="K481" s="8" t="s">
        <v>74</v>
      </c>
      <c r="L481" s="10">
        <v>0</v>
      </c>
      <c r="M481" s="8" t="s">
        <v>75</v>
      </c>
      <c r="N481" s="9">
        <v>0</v>
      </c>
      <c r="O481" s="8" t="s">
        <v>30</v>
      </c>
      <c r="P481" t="str">
        <f>TEXT(Table1[[#This Row],[Transaction_Date]],"mmm")</f>
        <v>May</v>
      </c>
      <c r="Q481" s="11">
        <v>45808</v>
      </c>
      <c r="R481" s="8" t="s">
        <v>1242</v>
      </c>
      <c r="S481" s="8" t="s">
        <v>70</v>
      </c>
      <c r="T481" s="9">
        <v>6608.07</v>
      </c>
      <c r="U481" t="s">
        <v>61</v>
      </c>
      <c r="V481" s="8" t="s">
        <v>62</v>
      </c>
      <c r="W481"/>
      <c r="X481"/>
    </row>
    <row r="482" spans="1:24" hidden="1" x14ac:dyDescent="0.3">
      <c r="A482" t="s">
        <v>1243</v>
      </c>
      <c r="B482" t="s">
        <v>722</v>
      </c>
      <c r="C482">
        <v>33</v>
      </c>
      <c r="D482" t="s">
        <v>92</v>
      </c>
      <c r="E482" t="s">
        <v>93</v>
      </c>
      <c r="F482" t="s">
        <v>92</v>
      </c>
      <c r="G482" t="s">
        <v>26</v>
      </c>
      <c r="H482" s="8" t="s">
        <v>51</v>
      </c>
      <c r="I482" s="9">
        <v>74329.56</v>
      </c>
      <c r="J482" s="9">
        <v>35915.96</v>
      </c>
      <c r="K482" s="8" t="s">
        <v>74</v>
      </c>
      <c r="L482" s="10">
        <v>0</v>
      </c>
      <c r="M482" s="8" t="s">
        <v>75</v>
      </c>
      <c r="N482" s="9">
        <v>0</v>
      </c>
      <c r="O482" s="8" t="s">
        <v>30</v>
      </c>
      <c r="P482" t="str">
        <f>TEXT(Table1[[#This Row],[Transaction_Date]],"mmm")</f>
        <v>May</v>
      </c>
      <c r="Q482" s="11">
        <v>45779</v>
      </c>
      <c r="R482" s="8" t="s">
        <v>1244</v>
      </c>
      <c r="S482" s="8" t="s">
        <v>32</v>
      </c>
      <c r="T482" s="9">
        <v>1065.22</v>
      </c>
      <c r="U482" t="s">
        <v>106</v>
      </c>
      <c r="V482" s="8" t="s">
        <v>62</v>
      </c>
      <c r="W482"/>
      <c r="X482"/>
    </row>
    <row r="483" spans="1:24" hidden="1" x14ac:dyDescent="0.3">
      <c r="A483" t="s">
        <v>1245</v>
      </c>
      <c r="B483" t="s">
        <v>257</v>
      </c>
      <c r="C483">
        <v>22</v>
      </c>
      <c r="D483" t="s">
        <v>97</v>
      </c>
      <c r="E483" t="s">
        <v>98</v>
      </c>
      <c r="F483" t="s">
        <v>97</v>
      </c>
      <c r="G483" t="s">
        <v>26</v>
      </c>
      <c r="H483" s="8" t="s">
        <v>40</v>
      </c>
      <c r="I483" s="9">
        <v>80981.78</v>
      </c>
      <c r="J483" s="9">
        <v>29891.05</v>
      </c>
      <c r="K483" s="8" t="s">
        <v>59</v>
      </c>
      <c r="L483" s="10">
        <v>81020.37</v>
      </c>
      <c r="M483" s="8" t="s">
        <v>29</v>
      </c>
      <c r="N483" s="9">
        <v>30739.8</v>
      </c>
      <c r="O483" s="8" t="s">
        <v>30</v>
      </c>
      <c r="P483" t="str">
        <f>TEXT(Table1[[#This Row],[Transaction_Date]],"mmm")</f>
        <v>May</v>
      </c>
      <c r="Q483" s="11">
        <v>45788</v>
      </c>
      <c r="R483" s="8" t="s">
        <v>1246</v>
      </c>
      <c r="S483" s="8" t="s">
        <v>44</v>
      </c>
      <c r="T483" s="9">
        <v>6646.62</v>
      </c>
      <c r="U483" t="s">
        <v>33</v>
      </c>
      <c r="V483" s="8" t="s">
        <v>34</v>
      </c>
      <c r="W483"/>
      <c r="X483"/>
    </row>
    <row r="484" spans="1:24" hidden="1" x14ac:dyDescent="0.3">
      <c r="A484" t="s">
        <v>1247</v>
      </c>
      <c r="B484" t="s">
        <v>104</v>
      </c>
      <c r="C484">
        <v>53</v>
      </c>
      <c r="D484" t="s">
        <v>92</v>
      </c>
      <c r="E484" t="s">
        <v>93</v>
      </c>
      <c r="F484" t="s">
        <v>92</v>
      </c>
      <c r="G484" t="s">
        <v>80</v>
      </c>
      <c r="H484" s="8" t="s">
        <v>27</v>
      </c>
      <c r="I484" s="9">
        <v>71970.84</v>
      </c>
      <c r="J484" s="9">
        <v>8461.6299999999992</v>
      </c>
      <c r="K484" s="8" t="s">
        <v>52</v>
      </c>
      <c r="L484" s="10">
        <v>59924.01</v>
      </c>
      <c r="M484" s="8" t="s">
        <v>42</v>
      </c>
      <c r="N484" s="9">
        <v>0</v>
      </c>
      <c r="O484" s="8" t="s">
        <v>30</v>
      </c>
      <c r="P484" t="str">
        <f>TEXT(Table1[[#This Row],[Transaction_Date]],"mmm")</f>
        <v>Mar</v>
      </c>
      <c r="Q484" s="11">
        <v>45742</v>
      </c>
      <c r="R484" s="8" t="s">
        <v>1248</v>
      </c>
      <c r="S484" s="8" t="s">
        <v>32</v>
      </c>
      <c r="T484" s="9">
        <v>445.36</v>
      </c>
      <c r="U484" t="s">
        <v>33</v>
      </c>
      <c r="V484" s="8" t="s">
        <v>46</v>
      </c>
      <c r="W484"/>
      <c r="X484"/>
    </row>
    <row r="485" spans="1:24" hidden="1" x14ac:dyDescent="0.3">
      <c r="A485" t="s">
        <v>1249</v>
      </c>
      <c r="B485" t="s">
        <v>382</v>
      </c>
      <c r="C485">
        <v>23</v>
      </c>
      <c r="D485" t="s">
        <v>92</v>
      </c>
      <c r="E485" t="s">
        <v>93</v>
      </c>
      <c r="F485" t="s">
        <v>92</v>
      </c>
      <c r="G485" t="s">
        <v>26</v>
      </c>
      <c r="H485" s="8" t="s">
        <v>40</v>
      </c>
      <c r="I485" s="9">
        <v>53921.58</v>
      </c>
      <c r="J485" s="9">
        <v>17303</v>
      </c>
      <c r="K485" s="8" t="s">
        <v>74</v>
      </c>
      <c r="L485" s="10">
        <v>0</v>
      </c>
      <c r="M485" s="8" t="s">
        <v>75</v>
      </c>
      <c r="N485" s="9">
        <v>0</v>
      </c>
      <c r="O485" s="8" t="s">
        <v>30</v>
      </c>
      <c r="P485" t="str">
        <f>TEXT(Table1[[#This Row],[Transaction_Date]],"mmm")</f>
        <v>Mar</v>
      </c>
      <c r="Q485" s="11">
        <v>45746</v>
      </c>
      <c r="R485" s="8" t="s">
        <v>1250</v>
      </c>
      <c r="S485" s="8" t="s">
        <v>54</v>
      </c>
      <c r="T485" s="9">
        <v>7241.85</v>
      </c>
      <c r="U485" t="s">
        <v>45</v>
      </c>
      <c r="V485" s="8" t="s">
        <v>62</v>
      </c>
      <c r="W485"/>
      <c r="X485"/>
    </row>
    <row r="486" spans="1:24" hidden="1" x14ac:dyDescent="0.3">
      <c r="A486" t="s">
        <v>1251</v>
      </c>
      <c r="B486" t="s">
        <v>162</v>
      </c>
      <c r="C486">
        <v>58</v>
      </c>
      <c r="D486" t="s">
        <v>65</v>
      </c>
      <c r="E486" t="s">
        <v>66</v>
      </c>
      <c r="F486" t="s">
        <v>65</v>
      </c>
      <c r="G486" t="s">
        <v>26</v>
      </c>
      <c r="H486" s="8" t="s">
        <v>40</v>
      </c>
      <c r="I486" s="9">
        <v>20925.88</v>
      </c>
      <c r="J486" s="9">
        <v>11156.83</v>
      </c>
      <c r="K486" s="8" t="s">
        <v>74</v>
      </c>
      <c r="L486" s="10">
        <v>0</v>
      </c>
      <c r="M486" s="8" t="s">
        <v>75</v>
      </c>
      <c r="N486" s="9">
        <v>0</v>
      </c>
      <c r="O486" s="8" t="s">
        <v>30</v>
      </c>
      <c r="P486" t="str">
        <f>TEXT(Table1[[#This Row],[Transaction_Date]],"mmm")</f>
        <v>May</v>
      </c>
      <c r="Q486" s="11">
        <v>45785</v>
      </c>
      <c r="R486" s="8" t="s">
        <v>1252</v>
      </c>
      <c r="S486" s="8" t="s">
        <v>32</v>
      </c>
      <c r="T486" s="9">
        <v>2671.35</v>
      </c>
      <c r="U486" t="s">
        <v>61</v>
      </c>
      <c r="V486" s="8" t="s">
        <v>62</v>
      </c>
      <c r="W486"/>
      <c r="X486"/>
    </row>
    <row r="487" spans="1:24" hidden="1" x14ac:dyDescent="0.3">
      <c r="A487" t="s">
        <v>1253</v>
      </c>
      <c r="B487" t="s">
        <v>556</v>
      </c>
      <c r="C487">
        <v>28</v>
      </c>
      <c r="D487" t="s">
        <v>84</v>
      </c>
      <c r="E487" t="s">
        <v>85</v>
      </c>
      <c r="F487" t="s">
        <v>84</v>
      </c>
      <c r="G487" t="s">
        <v>80</v>
      </c>
      <c r="H487" s="8" t="s">
        <v>40</v>
      </c>
      <c r="I487" s="9">
        <v>52608.87</v>
      </c>
      <c r="J487" s="9">
        <v>7046.84</v>
      </c>
      <c r="K487" s="8" t="s">
        <v>74</v>
      </c>
      <c r="L487" s="10">
        <v>0</v>
      </c>
      <c r="M487" s="8" t="s">
        <v>75</v>
      </c>
      <c r="N487" s="9">
        <v>0</v>
      </c>
      <c r="O487" s="8" t="s">
        <v>30</v>
      </c>
      <c r="P487" t="str">
        <f>TEXT(Table1[[#This Row],[Transaction_Date]],"mmm")</f>
        <v>Jul</v>
      </c>
      <c r="Q487" s="11">
        <v>45841</v>
      </c>
      <c r="R487" s="8" t="s">
        <v>1254</v>
      </c>
      <c r="S487" s="8" t="s">
        <v>54</v>
      </c>
      <c r="T487" s="9">
        <v>2858.91</v>
      </c>
      <c r="U487" t="s">
        <v>45</v>
      </c>
      <c r="V487" s="8" t="s">
        <v>62</v>
      </c>
      <c r="W487"/>
      <c r="X487"/>
    </row>
    <row r="488" spans="1:24" hidden="1" x14ac:dyDescent="0.3">
      <c r="A488" t="s">
        <v>1255</v>
      </c>
      <c r="B488" t="s">
        <v>654</v>
      </c>
      <c r="C488">
        <v>43</v>
      </c>
      <c r="D488" t="s">
        <v>65</v>
      </c>
      <c r="E488" t="s">
        <v>66</v>
      </c>
      <c r="F488" t="s">
        <v>65</v>
      </c>
      <c r="G488" t="s">
        <v>80</v>
      </c>
      <c r="H488" s="8" t="s">
        <v>27</v>
      </c>
      <c r="I488" s="9">
        <v>81188.149999999994</v>
      </c>
      <c r="J488" s="9">
        <v>29335.21</v>
      </c>
      <c r="K488" s="8" t="s">
        <v>74</v>
      </c>
      <c r="L488" s="10">
        <v>0</v>
      </c>
      <c r="M488" s="8" t="s">
        <v>75</v>
      </c>
      <c r="N488" s="9">
        <v>0</v>
      </c>
      <c r="O488" s="8" t="s">
        <v>30</v>
      </c>
      <c r="P488" t="str">
        <f>TEXT(Table1[[#This Row],[Transaction_Date]],"mmm")</f>
        <v>Oct</v>
      </c>
      <c r="Q488" s="11">
        <v>45958</v>
      </c>
      <c r="R488" s="8" t="s">
        <v>1256</v>
      </c>
      <c r="S488" s="8" t="s">
        <v>44</v>
      </c>
      <c r="T488" s="9">
        <v>7430.11</v>
      </c>
      <c r="U488" t="s">
        <v>77</v>
      </c>
      <c r="V488" s="8" t="s">
        <v>62</v>
      </c>
      <c r="W488"/>
      <c r="X488"/>
    </row>
    <row r="489" spans="1:24" hidden="1" x14ac:dyDescent="0.3">
      <c r="A489" t="s">
        <v>1257</v>
      </c>
      <c r="B489" t="s">
        <v>571</v>
      </c>
      <c r="C489">
        <v>45</v>
      </c>
      <c r="D489" t="s">
        <v>84</v>
      </c>
      <c r="E489" t="s">
        <v>85</v>
      </c>
      <c r="F489" t="s">
        <v>84</v>
      </c>
      <c r="G489" t="s">
        <v>80</v>
      </c>
      <c r="H489" s="8" t="s">
        <v>40</v>
      </c>
      <c r="I489" s="9">
        <v>75651.92</v>
      </c>
      <c r="J489" s="9">
        <v>22781.58</v>
      </c>
      <c r="K489" s="8" t="s">
        <v>59</v>
      </c>
      <c r="L489" s="10">
        <v>25000</v>
      </c>
      <c r="M489" s="8" t="s">
        <v>29</v>
      </c>
      <c r="N489" s="9">
        <v>15879.28</v>
      </c>
      <c r="O489" s="8" t="s">
        <v>228</v>
      </c>
      <c r="P489" t="str">
        <f>TEXT(Table1[[#This Row],[Transaction_Date]],"mmm")</f>
        <v>May</v>
      </c>
      <c r="Q489" s="11">
        <v>45803</v>
      </c>
      <c r="R489" s="8" t="s">
        <v>1258</v>
      </c>
      <c r="S489" s="8" t="s">
        <v>32</v>
      </c>
      <c r="T489" s="9">
        <v>3226.19</v>
      </c>
      <c r="U489" t="s">
        <v>77</v>
      </c>
      <c r="V489" s="8" t="s">
        <v>34</v>
      </c>
      <c r="W489"/>
      <c r="X489"/>
    </row>
    <row r="490" spans="1:24" x14ac:dyDescent="0.3">
      <c r="A490" t="s">
        <v>1259</v>
      </c>
      <c r="B490" t="s">
        <v>1260</v>
      </c>
      <c r="C490">
        <v>44</v>
      </c>
      <c r="D490" t="s">
        <v>84</v>
      </c>
      <c r="E490" t="s">
        <v>85</v>
      </c>
      <c r="F490" t="s">
        <v>84</v>
      </c>
      <c r="G490" t="s">
        <v>39</v>
      </c>
      <c r="H490" s="8" t="s">
        <v>40</v>
      </c>
      <c r="I490" s="9">
        <v>54270.58</v>
      </c>
      <c r="J490" s="9">
        <v>15509.61</v>
      </c>
      <c r="K490" s="8" t="s">
        <v>74</v>
      </c>
      <c r="L490" s="10">
        <v>0</v>
      </c>
      <c r="M490" s="8" t="s">
        <v>75</v>
      </c>
      <c r="N490" s="9">
        <v>0</v>
      </c>
      <c r="O490" s="8" t="s">
        <v>30</v>
      </c>
      <c r="P490" t="str">
        <f>TEXT(Table1[[#This Row],[Transaction_Date]],"mmm")</f>
        <v>Jan</v>
      </c>
      <c r="Q490" s="11">
        <v>45686</v>
      </c>
      <c r="R490" s="8" t="s">
        <v>1261</v>
      </c>
      <c r="S490" s="8" t="s">
        <v>44</v>
      </c>
      <c r="T490" s="9">
        <v>8055.63</v>
      </c>
      <c r="U490" t="s">
        <v>77</v>
      </c>
      <c r="V490" s="8" t="s">
        <v>62</v>
      </c>
      <c r="W490"/>
      <c r="X490"/>
    </row>
    <row r="491" spans="1:24" hidden="1" x14ac:dyDescent="0.3">
      <c r="A491" t="s">
        <v>1262</v>
      </c>
      <c r="B491" t="s">
        <v>945</v>
      </c>
      <c r="C491">
        <v>35</v>
      </c>
      <c r="D491" t="s">
        <v>92</v>
      </c>
      <c r="E491" t="s">
        <v>93</v>
      </c>
      <c r="F491" t="s">
        <v>92</v>
      </c>
      <c r="G491" t="s">
        <v>26</v>
      </c>
      <c r="H491" s="8" t="s">
        <v>27</v>
      </c>
      <c r="I491" s="9">
        <v>31311.78</v>
      </c>
      <c r="J491" s="9">
        <v>19376.490000000002</v>
      </c>
      <c r="K491" s="8" t="s">
        <v>28</v>
      </c>
      <c r="L491" s="10">
        <v>69001.38</v>
      </c>
      <c r="M491" s="8" t="s">
        <v>29</v>
      </c>
      <c r="N491" s="9">
        <v>41089.620000000003</v>
      </c>
      <c r="O491" s="8" t="s">
        <v>228</v>
      </c>
      <c r="P491" t="str">
        <f>TEXT(Table1[[#This Row],[Transaction_Date]],"mmm")</f>
        <v>Jul</v>
      </c>
      <c r="Q491" s="11">
        <v>45854</v>
      </c>
      <c r="R491" s="8" t="s">
        <v>1263</v>
      </c>
      <c r="S491" s="8" t="s">
        <v>70</v>
      </c>
      <c r="T491" s="9">
        <v>1149.3599999999999</v>
      </c>
      <c r="U491" t="s">
        <v>61</v>
      </c>
      <c r="V491" s="8" t="s">
        <v>46</v>
      </c>
      <c r="W491"/>
      <c r="X491"/>
    </row>
    <row r="492" spans="1:24" x14ac:dyDescent="0.3">
      <c r="A492" t="s">
        <v>1264</v>
      </c>
      <c r="B492" t="s">
        <v>200</v>
      </c>
      <c r="C492">
        <v>18</v>
      </c>
      <c r="D492" t="s">
        <v>65</v>
      </c>
      <c r="E492" t="s">
        <v>66</v>
      </c>
      <c r="F492" t="s">
        <v>65</v>
      </c>
      <c r="G492" t="s">
        <v>39</v>
      </c>
      <c r="H492" s="8" t="s">
        <v>40</v>
      </c>
      <c r="I492" s="9">
        <v>36065.58</v>
      </c>
      <c r="J492" s="9">
        <v>15219.12</v>
      </c>
      <c r="K492" s="8" t="s">
        <v>74</v>
      </c>
      <c r="L492" s="10">
        <v>0</v>
      </c>
      <c r="M492" s="8" t="s">
        <v>75</v>
      </c>
      <c r="N492" s="9">
        <v>0</v>
      </c>
      <c r="O492" s="8" t="s">
        <v>30</v>
      </c>
      <c r="P492" t="str">
        <f>TEXT(Table1[[#This Row],[Transaction_Date]],"mmm")</f>
        <v>Feb</v>
      </c>
      <c r="Q492" s="11">
        <v>45706</v>
      </c>
      <c r="R492" s="8" t="s">
        <v>1265</v>
      </c>
      <c r="S492" s="8" t="s">
        <v>44</v>
      </c>
      <c r="T492" s="9">
        <v>3685.16</v>
      </c>
      <c r="U492" t="s">
        <v>33</v>
      </c>
      <c r="V492" s="8" t="s">
        <v>46</v>
      </c>
      <c r="W492"/>
      <c r="X492"/>
    </row>
    <row r="493" spans="1:24" hidden="1" x14ac:dyDescent="0.3">
      <c r="A493" t="s">
        <v>1266</v>
      </c>
      <c r="B493" t="s">
        <v>1267</v>
      </c>
      <c r="C493">
        <v>40</v>
      </c>
      <c r="D493" t="s">
        <v>49</v>
      </c>
      <c r="E493" t="s">
        <v>50</v>
      </c>
      <c r="F493" t="s">
        <v>49</v>
      </c>
      <c r="G493" t="s">
        <v>80</v>
      </c>
      <c r="H493" s="8" t="s">
        <v>27</v>
      </c>
      <c r="I493" s="9">
        <v>48864.56</v>
      </c>
      <c r="J493" s="9">
        <v>51969.77</v>
      </c>
      <c r="K493" s="8" t="s">
        <v>74</v>
      </c>
      <c r="L493" s="10">
        <v>0</v>
      </c>
      <c r="M493" s="8" t="s">
        <v>75</v>
      </c>
      <c r="N493" s="9">
        <v>0</v>
      </c>
      <c r="O493" s="8" t="s">
        <v>30</v>
      </c>
      <c r="P493" t="str">
        <f>TEXT(Table1[[#This Row],[Transaction_Date]],"mmm")</f>
        <v>Sep</v>
      </c>
      <c r="Q493" s="11">
        <v>45911</v>
      </c>
      <c r="R493" s="8" t="s">
        <v>1268</v>
      </c>
      <c r="S493" s="8" t="s">
        <v>54</v>
      </c>
      <c r="T493" s="9">
        <v>32520.05</v>
      </c>
      <c r="U493" t="s">
        <v>77</v>
      </c>
      <c r="V493" s="8" t="s">
        <v>34</v>
      </c>
      <c r="W493"/>
      <c r="X493"/>
    </row>
    <row r="494" spans="1:24" hidden="1" x14ac:dyDescent="0.3">
      <c r="A494" t="s">
        <v>1269</v>
      </c>
      <c r="B494" t="s">
        <v>231</v>
      </c>
      <c r="C494">
        <v>21</v>
      </c>
      <c r="D494" t="s">
        <v>97</v>
      </c>
      <c r="E494" t="s">
        <v>98</v>
      </c>
      <c r="F494" t="s">
        <v>97</v>
      </c>
      <c r="G494" t="s">
        <v>80</v>
      </c>
      <c r="H494" s="8" t="s">
        <v>51</v>
      </c>
      <c r="I494" s="9">
        <v>40709.769999999997</v>
      </c>
      <c r="J494" s="9">
        <v>12224.05</v>
      </c>
      <c r="K494" s="8" t="s">
        <v>28</v>
      </c>
      <c r="L494" s="10">
        <v>89016.04</v>
      </c>
      <c r="M494" s="8" t="s">
        <v>29</v>
      </c>
      <c r="N494" s="9">
        <v>82849.789999999994</v>
      </c>
      <c r="O494" s="8" t="s">
        <v>228</v>
      </c>
      <c r="P494" t="str">
        <f>TEXT(Table1[[#This Row],[Transaction_Date]],"mmm")</f>
        <v>Jun</v>
      </c>
      <c r="Q494" s="11">
        <v>45811</v>
      </c>
      <c r="R494" s="8" t="s">
        <v>1270</v>
      </c>
      <c r="S494" s="8" t="s">
        <v>32</v>
      </c>
      <c r="T494" s="9">
        <v>326.92</v>
      </c>
      <c r="U494" t="s">
        <v>45</v>
      </c>
      <c r="V494" s="8" t="s">
        <v>62</v>
      </c>
      <c r="W494"/>
      <c r="X494"/>
    </row>
    <row r="495" spans="1:24" hidden="1" x14ac:dyDescent="0.3">
      <c r="A495" t="s">
        <v>1271</v>
      </c>
      <c r="B495" t="s">
        <v>341</v>
      </c>
      <c r="C495">
        <v>40</v>
      </c>
      <c r="D495" t="s">
        <v>97</v>
      </c>
      <c r="E495" t="s">
        <v>98</v>
      </c>
      <c r="F495" t="s">
        <v>97</v>
      </c>
      <c r="G495" t="s">
        <v>26</v>
      </c>
      <c r="H495" s="8" t="s">
        <v>51</v>
      </c>
      <c r="I495" s="9">
        <v>54870.26</v>
      </c>
      <c r="J495" s="9">
        <v>5890.17</v>
      </c>
      <c r="K495" s="8" t="s">
        <v>74</v>
      </c>
      <c r="L495" s="10">
        <v>0</v>
      </c>
      <c r="M495" s="8" t="s">
        <v>75</v>
      </c>
      <c r="N495" s="9">
        <v>0</v>
      </c>
      <c r="O495" s="8" t="s">
        <v>30</v>
      </c>
      <c r="P495" t="str">
        <f>TEXT(Table1[[#This Row],[Transaction_Date]],"mmm")</f>
        <v>Nov</v>
      </c>
      <c r="Q495" s="11">
        <v>45973</v>
      </c>
      <c r="R495" s="8" t="s">
        <v>1272</v>
      </c>
      <c r="S495" s="8" t="s">
        <v>44</v>
      </c>
      <c r="T495" s="9">
        <v>1907.08</v>
      </c>
      <c r="U495" t="s">
        <v>77</v>
      </c>
      <c r="V495" s="8" t="s">
        <v>62</v>
      </c>
      <c r="W495"/>
      <c r="X495"/>
    </row>
    <row r="496" spans="1:24" hidden="1" x14ac:dyDescent="0.3">
      <c r="A496" t="s">
        <v>1273</v>
      </c>
      <c r="B496" t="s">
        <v>191</v>
      </c>
      <c r="C496">
        <v>44</v>
      </c>
      <c r="D496" t="s">
        <v>97</v>
      </c>
      <c r="E496" t="s">
        <v>98</v>
      </c>
      <c r="F496" t="s">
        <v>97</v>
      </c>
      <c r="G496" t="s">
        <v>80</v>
      </c>
      <c r="H496" s="8" t="s">
        <v>40</v>
      </c>
      <c r="I496" s="9">
        <v>83167.31</v>
      </c>
      <c r="J496" s="9">
        <v>43961.02</v>
      </c>
      <c r="K496" s="8" t="s">
        <v>28</v>
      </c>
      <c r="L496" s="10">
        <v>42902.06</v>
      </c>
      <c r="M496" s="8" t="s">
        <v>29</v>
      </c>
      <c r="N496" s="9">
        <v>26412.05</v>
      </c>
      <c r="O496" s="8" t="s">
        <v>30</v>
      </c>
      <c r="P496" t="str">
        <f>TEXT(Table1[[#This Row],[Transaction_Date]],"mmm")</f>
        <v>Jul</v>
      </c>
      <c r="Q496" s="11">
        <v>45868</v>
      </c>
      <c r="R496" s="8" t="s">
        <v>1274</v>
      </c>
      <c r="S496" s="8" t="s">
        <v>54</v>
      </c>
      <c r="T496" s="9">
        <v>3618.51</v>
      </c>
      <c r="U496" t="s">
        <v>61</v>
      </c>
      <c r="V496" s="8" t="s">
        <v>34</v>
      </c>
      <c r="W496"/>
      <c r="X496"/>
    </row>
    <row r="497" spans="1:24" x14ac:dyDescent="0.3">
      <c r="A497" t="s">
        <v>1275</v>
      </c>
      <c r="B497" t="s">
        <v>1276</v>
      </c>
      <c r="C497">
        <v>18</v>
      </c>
      <c r="D497" t="s">
        <v>24</v>
      </c>
      <c r="E497" t="s">
        <v>25</v>
      </c>
      <c r="F497" t="s">
        <v>24</v>
      </c>
      <c r="G497" t="s">
        <v>39</v>
      </c>
      <c r="H497" s="8" t="s">
        <v>51</v>
      </c>
      <c r="I497" s="9">
        <v>52018.42</v>
      </c>
      <c r="J497" s="9">
        <v>16530.09</v>
      </c>
      <c r="K497" s="8" t="s">
        <v>68</v>
      </c>
      <c r="L497" s="10">
        <v>106855.84</v>
      </c>
      <c r="M497" s="8" t="s">
        <v>42</v>
      </c>
      <c r="N497" s="9">
        <v>0</v>
      </c>
      <c r="O497" s="8" t="s">
        <v>30</v>
      </c>
      <c r="P497" t="str">
        <f>TEXT(Table1[[#This Row],[Transaction_Date]],"mmm")</f>
        <v>Nov</v>
      </c>
      <c r="Q497" s="11">
        <v>45963</v>
      </c>
      <c r="R497" s="8" t="s">
        <v>1277</v>
      </c>
      <c r="S497" s="8" t="s">
        <v>44</v>
      </c>
      <c r="T497" s="9">
        <v>5657.93</v>
      </c>
      <c r="U497" t="s">
        <v>45</v>
      </c>
      <c r="V497" s="8" t="s">
        <v>62</v>
      </c>
      <c r="W497"/>
      <c r="X497"/>
    </row>
    <row r="498" spans="1:24" hidden="1" x14ac:dyDescent="0.3">
      <c r="A498" t="s">
        <v>1278</v>
      </c>
      <c r="B498" t="s">
        <v>365</v>
      </c>
      <c r="C498">
        <v>39</v>
      </c>
      <c r="D498" t="s">
        <v>97</v>
      </c>
      <c r="E498" t="s">
        <v>98</v>
      </c>
      <c r="F498" t="s">
        <v>97</v>
      </c>
      <c r="G498" t="s">
        <v>26</v>
      </c>
      <c r="H498" s="8" t="s">
        <v>67</v>
      </c>
      <c r="I498" s="9">
        <v>31918.16</v>
      </c>
      <c r="J498" s="9">
        <v>22245.23</v>
      </c>
      <c r="K498" s="8" t="s">
        <v>68</v>
      </c>
      <c r="L498" s="10">
        <v>112165.63</v>
      </c>
      <c r="M498" s="8" t="s">
        <v>29</v>
      </c>
      <c r="N498" s="9">
        <v>65878.600000000006</v>
      </c>
      <c r="O498" s="8" t="s">
        <v>30</v>
      </c>
      <c r="P498" t="str">
        <f>TEXT(Table1[[#This Row],[Transaction_Date]],"mmm")</f>
        <v>Mar</v>
      </c>
      <c r="Q498" s="11">
        <v>45729</v>
      </c>
      <c r="R498" s="8" t="s">
        <v>1279</v>
      </c>
      <c r="S498" s="8" t="s">
        <v>54</v>
      </c>
      <c r="T498" s="9">
        <v>2929.22</v>
      </c>
      <c r="U498" t="s">
        <v>61</v>
      </c>
      <c r="V498" s="8" t="s">
        <v>62</v>
      </c>
      <c r="W498"/>
      <c r="X498"/>
    </row>
    <row r="499" spans="1:24" x14ac:dyDescent="0.3">
      <c r="A499" t="s">
        <v>1280</v>
      </c>
      <c r="B499" t="s">
        <v>472</v>
      </c>
      <c r="C499">
        <v>26</v>
      </c>
      <c r="D499" t="s">
        <v>92</v>
      </c>
      <c r="E499" t="s">
        <v>93</v>
      </c>
      <c r="F499" t="s">
        <v>92</v>
      </c>
      <c r="G499" t="s">
        <v>39</v>
      </c>
      <c r="H499" s="8" t="s">
        <v>40</v>
      </c>
      <c r="I499" s="9">
        <v>65572.91</v>
      </c>
      <c r="J499" s="9">
        <v>4574.92</v>
      </c>
      <c r="K499" s="8" t="s">
        <v>74</v>
      </c>
      <c r="L499" s="10">
        <v>0</v>
      </c>
      <c r="M499" s="8" t="s">
        <v>75</v>
      </c>
      <c r="N499" s="9">
        <v>0</v>
      </c>
      <c r="O499" s="8" t="s">
        <v>30</v>
      </c>
      <c r="P499" t="str">
        <f>TEXT(Table1[[#This Row],[Transaction_Date]],"mmm")</f>
        <v>Aug</v>
      </c>
      <c r="Q499" s="11">
        <v>45890</v>
      </c>
      <c r="R499" s="8" t="s">
        <v>1281</v>
      </c>
      <c r="S499" s="8" t="s">
        <v>32</v>
      </c>
      <c r="T499" s="9">
        <v>871.61</v>
      </c>
      <c r="U499" t="s">
        <v>33</v>
      </c>
      <c r="V499" s="8" t="s">
        <v>46</v>
      </c>
      <c r="W499"/>
      <c r="X499"/>
    </row>
    <row r="500" spans="1:24" hidden="1" x14ac:dyDescent="0.3">
      <c r="A500" t="s">
        <v>1282</v>
      </c>
      <c r="B500" t="s">
        <v>1283</v>
      </c>
      <c r="C500">
        <v>40</v>
      </c>
      <c r="D500" t="s">
        <v>97</v>
      </c>
      <c r="E500" t="s">
        <v>98</v>
      </c>
      <c r="F500" t="s">
        <v>97</v>
      </c>
      <c r="G500" t="s">
        <v>26</v>
      </c>
      <c r="H500" s="8" t="s">
        <v>51</v>
      </c>
      <c r="I500" s="9">
        <v>50530.02</v>
      </c>
      <c r="J500" s="9">
        <v>26157.84</v>
      </c>
      <c r="K500" s="8" t="s">
        <v>41</v>
      </c>
      <c r="L500" s="10">
        <v>33548.980000000003</v>
      </c>
      <c r="M500" s="8" t="s">
        <v>29</v>
      </c>
      <c r="N500" s="9">
        <v>23302.03</v>
      </c>
      <c r="O500" s="8" t="s">
        <v>30</v>
      </c>
      <c r="P500" t="str">
        <f>TEXT(Table1[[#This Row],[Transaction_Date]],"mmm")</f>
        <v>Oct</v>
      </c>
      <c r="Q500" s="11">
        <v>45945</v>
      </c>
      <c r="R500" s="8" t="s">
        <v>1284</v>
      </c>
      <c r="S500" s="8" t="s">
        <v>32</v>
      </c>
      <c r="T500" s="9">
        <v>3224.84</v>
      </c>
      <c r="U500" t="s">
        <v>33</v>
      </c>
      <c r="V500" s="8" t="s">
        <v>62</v>
      </c>
      <c r="W500"/>
      <c r="X500"/>
    </row>
    <row r="501" spans="1:24" x14ac:dyDescent="0.3">
      <c r="A501" t="s">
        <v>1285</v>
      </c>
      <c r="B501" t="s">
        <v>587</v>
      </c>
      <c r="C501">
        <v>50</v>
      </c>
      <c r="D501" t="s">
        <v>24</v>
      </c>
      <c r="E501" t="s">
        <v>25</v>
      </c>
      <c r="F501" t="s">
        <v>24</v>
      </c>
      <c r="G501" t="s">
        <v>39</v>
      </c>
      <c r="H501" s="8" t="s">
        <v>40</v>
      </c>
      <c r="I501" s="9">
        <v>52688.84</v>
      </c>
      <c r="J501" s="9">
        <v>43492.639999999999</v>
      </c>
      <c r="K501" s="8" t="s">
        <v>74</v>
      </c>
      <c r="L501" s="10">
        <v>0</v>
      </c>
      <c r="M501" s="8" t="s">
        <v>75</v>
      </c>
      <c r="N501" s="9">
        <v>0</v>
      </c>
      <c r="O501" s="8" t="s">
        <v>30</v>
      </c>
      <c r="P501" t="str">
        <f>TEXT(Table1[[#This Row],[Transaction_Date]],"mmm")</f>
        <v>Jul</v>
      </c>
      <c r="Q501" s="11">
        <v>45855</v>
      </c>
      <c r="R501" s="8" t="s">
        <v>1286</v>
      </c>
      <c r="S501" s="8" t="s">
        <v>54</v>
      </c>
      <c r="T501" s="9">
        <v>4104.7700000000004</v>
      </c>
      <c r="U501" t="s">
        <v>61</v>
      </c>
      <c r="V501" s="8" t="s">
        <v>46</v>
      </c>
      <c r="W501"/>
      <c r="X501"/>
    </row>
    <row r="502" spans="1:24" x14ac:dyDescent="0.3">
      <c r="A502" t="s">
        <v>1287</v>
      </c>
      <c r="B502" t="s">
        <v>1267</v>
      </c>
      <c r="C502">
        <v>46</v>
      </c>
      <c r="D502" t="s">
        <v>65</v>
      </c>
      <c r="E502" t="s">
        <v>66</v>
      </c>
      <c r="F502" t="s">
        <v>65</v>
      </c>
      <c r="G502" t="s">
        <v>39</v>
      </c>
      <c r="H502" s="8" t="s">
        <v>51</v>
      </c>
      <c r="I502" s="9">
        <v>35558.18</v>
      </c>
      <c r="J502" s="9">
        <v>110608.63</v>
      </c>
      <c r="K502" s="8" t="s">
        <v>68</v>
      </c>
      <c r="L502" s="10">
        <v>33531.07</v>
      </c>
      <c r="M502" s="8" t="s">
        <v>29</v>
      </c>
      <c r="N502" s="9">
        <v>9800.77</v>
      </c>
      <c r="O502" s="8" t="s">
        <v>228</v>
      </c>
      <c r="P502" t="str">
        <f>TEXT(Table1[[#This Row],[Transaction_Date]],"mmm")</f>
        <v>Nov</v>
      </c>
      <c r="Q502" s="11">
        <v>45990</v>
      </c>
      <c r="R502" s="8" t="s">
        <v>1288</v>
      </c>
      <c r="S502" s="8" t="s">
        <v>44</v>
      </c>
      <c r="T502" s="9">
        <v>1123.17</v>
      </c>
      <c r="U502" t="s">
        <v>71</v>
      </c>
      <c r="V502" s="8" t="s">
        <v>62</v>
      </c>
      <c r="W502"/>
      <c r="X502"/>
    </row>
    <row r="503" spans="1:24" x14ac:dyDescent="0.3">
      <c r="A503" t="s">
        <v>1289</v>
      </c>
      <c r="B503" t="s">
        <v>812</v>
      </c>
      <c r="C503">
        <v>32</v>
      </c>
      <c r="D503" t="s">
        <v>84</v>
      </c>
      <c r="E503" t="s">
        <v>85</v>
      </c>
      <c r="F503" t="s">
        <v>84</v>
      </c>
      <c r="G503" t="s">
        <v>39</v>
      </c>
      <c r="H503" s="8" t="s">
        <v>40</v>
      </c>
      <c r="I503" s="9">
        <v>12000</v>
      </c>
      <c r="J503" s="9">
        <v>40660.94</v>
      </c>
      <c r="K503" s="8" t="s">
        <v>41</v>
      </c>
      <c r="L503" s="10">
        <v>25000</v>
      </c>
      <c r="M503" s="8" t="s">
        <v>29</v>
      </c>
      <c r="N503" s="9">
        <v>15999.62</v>
      </c>
      <c r="O503" s="8" t="s">
        <v>30</v>
      </c>
      <c r="P503" t="str">
        <f>TEXT(Table1[[#This Row],[Transaction_Date]],"mmm")</f>
        <v>Aug</v>
      </c>
      <c r="Q503" s="11">
        <v>45892</v>
      </c>
      <c r="R503" s="8" t="s">
        <v>1290</v>
      </c>
      <c r="S503" s="8" t="s">
        <v>70</v>
      </c>
      <c r="T503" s="9">
        <v>853.04</v>
      </c>
      <c r="U503" t="s">
        <v>33</v>
      </c>
      <c r="V503" s="8" t="s">
        <v>34</v>
      </c>
      <c r="W503"/>
      <c r="X503"/>
    </row>
    <row r="504" spans="1:24" hidden="1" x14ac:dyDescent="0.3">
      <c r="A504" t="s">
        <v>1291</v>
      </c>
      <c r="B504" t="s">
        <v>311</v>
      </c>
      <c r="C504">
        <v>19</v>
      </c>
      <c r="D504" t="s">
        <v>37</v>
      </c>
      <c r="E504" t="s">
        <v>38</v>
      </c>
      <c r="F504" t="s">
        <v>37</v>
      </c>
      <c r="G504" t="s">
        <v>80</v>
      </c>
      <c r="H504" s="8" t="s">
        <v>40</v>
      </c>
      <c r="I504" s="9">
        <v>28766.92</v>
      </c>
      <c r="J504" s="9">
        <v>4789.0600000000004</v>
      </c>
      <c r="K504" s="8" t="s">
        <v>68</v>
      </c>
      <c r="L504" s="10">
        <v>28605.14</v>
      </c>
      <c r="M504" s="8" t="s">
        <v>42</v>
      </c>
      <c r="N504" s="9">
        <v>0</v>
      </c>
      <c r="O504" s="8" t="s">
        <v>30</v>
      </c>
      <c r="P504" t="str">
        <f>TEXT(Table1[[#This Row],[Transaction_Date]],"mmm")</f>
        <v>Jun</v>
      </c>
      <c r="Q504" s="11">
        <v>45823</v>
      </c>
      <c r="R504" s="8" t="s">
        <v>1292</v>
      </c>
      <c r="S504" s="8" t="s">
        <v>70</v>
      </c>
      <c r="T504" s="9">
        <v>2323.23</v>
      </c>
      <c r="U504" t="s">
        <v>45</v>
      </c>
      <c r="V504" s="8" t="s">
        <v>46</v>
      </c>
      <c r="W504"/>
      <c r="X504"/>
    </row>
    <row r="505" spans="1:24" hidden="1" x14ac:dyDescent="0.3">
      <c r="A505" t="s">
        <v>1293</v>
      </c>
      <c r="B505" t="s">
        <v>1294</v>
      </c>
      <c r="C505">
        <v>18</v>
      </c>
      <c r="D505" t="s">
        <v>37</v>
      </c>
      <c r="E505" t="s">
        <v>38</v>
      </c>
      <c r="F505" t="s">
        <v>37</v>
      </c>
      <c r="G505" t="s">
        <v>80</v>
      </c>
      <c r="H505" s="8" t="s">
        <v>40</v>
      </c>
      <c r="I505" s="9">
        <v>64169.63</v>
      </c>
      <c r="J505" s="9">
        <v>12819.51</v>
      </c>
      <c r="K505" s="8" t="s">
        <v>28</v>
      </c>
      <c r="L505" s="10">
        <v>143679.53</v>
      </c>
      <c r="M505" s="8" t="s">
        <v>42</v>
      </c>
      <c r="N505" s="9">
        <v>0</v>
      </c>
      <c r="O505" s="8" t="s">
        <v>30</v>
      </c>
      <c r="P505" t="str">
        <f>TEXT(Table1[[#This Row],[Transaction_Date]],"mmm")</f>
        <v>May</v>
      </c>
      <c r="Q505" s="11">
        <v>45801</v>
      </c>
      <c r="R505" s="8" t="s">
        <v>1295</v>
      </c>
      <c r="S505" s="8" t="s">
        <v>54</v>
      </c>
      <c r="T505" s="9">
        <v>1162.8399999999999</v>
      </c>
      <c r="U505" t="s">
        <v>45</v>
      </c>
      <c r="V505" s="8" t="s">
        <v>46</v>
      </c>
      <c r="W505"/>
      <c r="X505"/>
    </row>
    <row r="506" spans="1:24" x14ac:dyDescent="0.3">
      <c r="A506" t="s">
        <v>1296</v>
      </c>
      <c r="B506" t="s">
        <v>194</v>
      </c>
      <c r="C506">
        <v>46</v>
      </c>
      <c r="D506" t="s">
        <v>65</v>
      </c>
      <c r="E506" t="s">
        <v>66</v>
      </c>
      <c r="F506" t="s">
        <v>65</v>
      </c>
      <c r="G506" t="s">
        <v>39</v>
      </c>
      <c r="H506" s="8" t="s">
        <v>40</v>
      </c>
      <c r="I506" s="9">
        <v>76063</v>
      </c>
      <c r="J506" s="9">
        <v>20297.95</v>
      </c>
      <c r="K506" s="8" t="s">
        <v>74</v>
      </c>
      <c r="L506" s="10">
        <v>0</v>
      </c>
      <c r="M506" s="8" t="s">
        <v>75</v>
      </c>
      <c r="N506" s="9">
        <v>0</v>
      </c>
      <c r="O506" s="8" t="s">
        <v>30</v>
      </c>
      <c r="P506" t="str">
        <f>TEXT(Table1[[#This Row],[Transaction_Date]],"mmm")</f>
        <v>Aug</v>
      </c>
      <c r="Q506" s="11">
        <v>45880</v>
      </c>
      <c r="R506" s="8" t="s">
        <v>1297</v>
      </c>
      <c r="S506" s="8" t="s">
        <v>54</v>
      </c>
      <c r="T506" s="9">
        <v>2402.37</v>
      </c>
      <c r="U506" t="s">
        <v>33</v>
      </c>
      <c r="V506" s="8" t="s">
        <v>62</v>
      </c>
      <c r="W506"/>
      <c r="X506"/>
    </row>
    <row r="507" spans="1:24" x14ac:dyDescent="0.3">
      <c r="A507" t="s">
        <v>1298</v>
      </c>
      <c r="B507" t="s">
        <v>548</v>
      </c>
      <c r="C507">
        <v>24</v>
      </c>
      <c r="D507" t="s">
        <v>84</v>
      </c>
      <c r="E507" t="s">
        <v>85</v>
      </c>
      <c r="F507" t="s">
        <v>84</v>
      </c>
      <c r="G507" t="s">
        <v>39</v>
      </c>
      <c r="H507" s="8" t="s">
        <v>27</v>
      </c>
      <c r="I507" s="9">
        <v>67815.990000000005</v>
      </c>
      <c r="J507" s="9">
        <v>125980.66</v>
      </c>
      <c r="K507" s="8" t="s">
        <v>52</v>
      </c>
      <c r="L507" s="10">
        <v>195804.56</v>
      </c>
      <c r="M507" s="8" t="s">
        <v>29</v>
      </c>
      <c r="N507" s="9">
        <v>47097.99</v>
      </c>
      <c r="O507" s="8" t="s">
        <v>30</v>
      </c>
      <c r="P507" t="str">
        <f>TEXT(Table1[[#This Row],[Transaction_Date]],"mmm")</f>
        <v>Jan</v>
      </c>
      <c r="Q507" s="11">
        <v>45674</v>
      </c>
      <c r="R507" s="8" t="s">
        <v>1299</v>
      </c>
      <c r="S507" s="8" t="s">
        <v>70</v>
      </c>
      <c r="T507" s="9">
        <v>887.09</v>
      </c>
      <c r="U507" t="s">
        <v>45</v>
      </c>
      <c r="V507" s="8" t="s">
        <v>62</v>
      </c>
      <c r="W507"/>
      <c r="X507"/>
    </row>
    <row r="508" spans="1:24" hidden="1" x14ac:dyDescent="0.3">
      <c r="A508" t="s">
        <v>1300</v>
      </c>
      <c r="B508" t="s">
        <v>359</v>
      </c>
      <c r="C508">
        <v>37</v>
      </c>
      <c r="D508" t="s">
        <v>37</v>
      </c>
      <c r="E508" t="s">
        <v>38</v>
      </c>
      <c r="F508" t="s">
        <v>37</v>
      </c>
      <c r="G508" t="s">
        <v>80</v>
      </c>
      <c r="H508" s="8" t="s">
        <v>51</v>
      </c>
      <c r="I508" s="9">
        <v>44812.59</v>
      </c>
      <c r="J508" s="9">
        <v>41938.129999999997</v>
      </c>
      <c r="K508" s="8" t="s">
        <v>74</v>
      </c>
      <c r="L508" s="10">
        <v>0</v>
      </c>
      <c r="M508" s="8" t="s">
        <v>75</v>
      </c>
      <c r="N508" s="9">
        <v>0</v>
      </c>
      <c r="O508" s="8" t="s">
        <v>30</v>
      </c>
      <c r="P508" t="str">
        <f>TEXT(Table1[[#This Row],[Transaction_Date]],"mmm")</f>
        <v>Oct</v>
      </c>
      <c r="Q508" s="11">
        <v>45941</v>
      </c>
      <c r="R508" s="8" t="s">
        <v>1301</v>
      </c>
      <c r="S508" s="8" t="s">
        <v>32</v>
      </c>
      <c r="T508" s="9">
        <v>116.63</v>
      </c>
      <c r="U508" t="s">
        <v>71</v>
      </c>
      <c r="V508" s="8" t="s">
        <v>46</v>
      </c>
      <c r="W508"/>
      <c r="X508"/>
    </row>
    <row r="509" spans="1:24" x14ac:dyDescent="0.3">
      <c r="A509" t="s">
        <v>1302</v>
      </c>
      <c r="B509" t="s">
        <v>401</v>
      </c>
      <c r="C509">
        <v>40</v>
      </c>
      <c r="D509" t="s">
        <v>65</v>
      </c>
      <c r="E509" t="s">
        <v>66</v>
      </c>
      <c r="F509" t="s">
        <v>65</v>
      </c>
      <c r="G509" t="s">
        <v>39</v>
      </c>
      <c r="H509" s="8" t="s">
        <v>40</v>
      </c>
      <c r="I509" s="9">
        <v>53066.92</v>
      </c>
      <c r="J509" s="9">
        <v>52663.68</v>
      </c>
      <c r="K509" s="8" t="s">
        <v>28</v>
      </c>
      <c r="L509" s="10">
        <v>51145.68</v>
      </c>
      <c r="M509" s="8" t="s">
        <v>29</v>
      </c>
      <c r="N509" s="9">
        <v>41341.839999999997</v>
      </c>
      <c r="O509" s="8" t="s">
        <v>30</v>
      </c>
      <c r="P509" t="str">
        <f>TEXT(Table1[[#This Row],[Transaction_Date]],"mmm")</f>
        <v>Aug</v>
      </c>
      <c r="Q509" s="11">
        <v>45892</v>
      </c>
      <c r="R509" s="8" t="s">
        <v>1303</v>
      </c>
      <c r="S509" s="8" t="s">
        <v>70</v>
      </c>
      <c r="T509" s="9">
        <v>1850.44</v>
      </c>
      <c r="U509" t="s">
        <v>77</v>
      </c>
      <c r="V509" s="8" t="s">
        <v>62</v>
      </c>
      <c r="W509"/>
      <c r="X509"/>
    </row>
    <row r="510" spans="1:24" x14ac:dyDescent="0.3">
      <c r="A510" t="s">
        <v>1304</v>
      </c>
      <c r="B510" t="s">
        <v>1305</v>
      </c>
      <c r="C510">
        <v>57</v>
      </c>
      <c r="D510" t="s">
        <v>37</v>
      </c>
      <c r="E510" t="s">
        <v>38</v>
      </c>
      <c r="F510" t="s">
        <v>37</v>
      </c>
      <c r="G510" t="s">
        <v>39</v>
      </c>
      <c r="H510" s="8" t="s">
        <v>27</v>
      </c>
      <c r="I510" s="9">
        <v>34150.19</v>
      </c>
      <c r="J510" s="9">
        <v>21518.42</v>
      </c>
      <c r="K510" s="8" t="s">
        <v>41</v>
      </c>
      <c r="L510" s="10">
        <v>25383.09</v>
      </c>
      <c r="M510" s="8" t="s">
        <v>29</v>
      </c>
      <c r="N510" s="9">
        <v>7090.77</v>
      </c>
      <c r="O510" s="8" t="s">
        <v>30</v>
      </c>
      <c r="P510" t="str">
        <f>TEXT(Table1[[#This Row],[Transaction_Date]],"mmm")</f>
        <v>Jun</v>
      </c>
      <c r="Q510" s="11">
        <v>45825</v>
      </c>
      <c r="R510" s="8" t="s">
        <v>1306</v>
      </c>
      <c r="S510" s="8" t="s">
        <v>54</v>
      </c>
      <c r="T510" s="9">
        <v>1344.69</v>
      </c>
      <c r="U510" t="s">
        <v>61</v>
      </c>
      <c r="V510" s="8" t="s">
        <v>46</v>
      </c>
      <c r="W510"/>
      <c r="X510"/>
    </row>
    <row r="511" spans="1:24" hidden="1" x14ac:dyDescent="0.3">
      <c r="A511" t="s">
        <v>1307</v>
      </c>
      <c r="B511" t="s">
        <v>73</v>
      </c>
      <c r="C511">
        <v>26</v>
      </c>
      <c r="D511" t="s">
        <v>24</v>
      </c>
      <c r="E511" t="s">
        <v>25</v>
      </c>
      <c r="F511" t="s">
        <v>24</v>
      </c>
      <c r="G511" t="s">
        <v>51</v>
      </c>
      <c r="H511" s="8" t="s">
        <v>40</v>
      </c>
      <c r="I511" s="9">
        <v>85574.81</v>
      </c>
      <c r="J511" s="9">
        <v>21772.12</v>
      </c>
      <c r="K511" s="8" t="s">
        <v>28</v>
      </c>
      <c r="L511" s="10">
        <v>25000</v>
      </c>
      <c r="M511" s="8" t="s">
        <v>42</v>
      </c>
      <c r="N511" s="9">
        <v>0</v>
      </c>
      <c r="O511" s="8" t="s">
        <v>30</v>
      </c>
      <c r="P511" t="str">
        <f>TEXT(Table1[[#This Row],[Transaction_Date]],"mmm")</f>
        <v>Aug</v>
      </c>
      <c r="Q511" s="11">
        <v>45893</v>
      </c>
      <c r="R511" s="8" t="s">
        <v>1308</v>
      </c>
      <c r="S511" s="8" t="s">
        <v>32</v>
      </c>
      <c r="T511" s="9">
        <v>611.62</v>
      </c>
      <c r="U511" t="s">
        <v>33</v>
      </c>
      <c r="V511" s="8" t="s">
        <v>34</v>
      </c>
      <c r="W511"/>
      <c r="X511"/>
    </row>
    <row r="512" spans="1:24" hidden="1" x14ac:dyDescent="0.3">
      <c r="A512" t="s">
        <v>1309</v>
      </c>
      <c r="B512" t="s">
        <v>126</v>
      </c>
      <c r="C512">
        <v>53</v>
      </c>
      <c r="D512" t="s">
        <v>92</v>
      </c>
      <c r="E512" t="s">
        <v>93</v>
      </c>
      <c r="F512" t="s">
        <v>92</v>
      </c>
      <c r="G512" t="s">
        <v>26</v>
      </c>
      <c r="H512" s="8" t="s">
        <v>67</v>
      </c>
      <c r="I512" s="9">
        <v>54112.68</v>
      </c>
      <c r="J512" s="9">
        <v>35718.94</v>
      </c>
      <c r="K512" s="8" t="s">
        <v>74</v>
      </c>
      <c r="L512" s="10">
        <v>0</v>
      </c>
      <c r="M512" s="8" t="s">
        <v>75</v>
      </c>
      <c r="N512" s="9">
        <v>0</v>
      </c>
      <c r="O512" s="8" t="s">
        <v>30</v>
      </c>
      <c r="P512" t="str">
        <f>TEXT(Table1[[#This Row],[Transaction_Date]],"mmm")</f>
        <v>Jan</v>
      </c>
      <c r="Q512" s="11">
        <v>45681</v>
      </c>
      <c r="R512" s="8" t="s">
        <v>1310</v>
      </c>
      <c r="S512" s="8" t="s">
        <v>54</v>
      </c>
      <c r="T512" s="9">
        <v>45633.27</v>
      </c>
      <c r="U512" t="s">
        <v>61</v>
      </c>
      <c r="V512" s="8" t="s">
        <v>34</v>
      </c>
      <c r="W512"/>
      <c r="X512"/>
    </row>
    <row r="513" spans="1:24" x14ac:dyDescent="0.3">
      <c r="A513" t="s">
        <v>1311</v>
      </c>
      <c r="B513" t="s">
        <v>832</v>
      </c>
      <c r="C513">
        <v>28</v>
      </c>
      <c r="D513" t="s">
        <v>92</v>
      </c>
      <c r="E513" t="s">
        <v>93</v>
      </c>
      <c r="F513" t="s">
        <v>92</v>
      </c>
      <c r="G513" t="s">
        <v>39</v>
      </c>
      <c r="H513" s="8" t="s">
        <v>40</v>
      </c>
      <c r="I513" s="9">
        <v>47371.47</v>
      </c>
      <c r="J513" s="9">
        <v>20728.98</v>
      </c>
      <c r="K513" s="8" t="s">
        <v>68</v>
      </c>
      <c r="L513" s="10">
        <v>50038.84</v>
      </c>
      <c r="M513" s="8" t="s">
        <v>29</v>
      </c>
      <c r="N513" s="9">
        <v>10697.24</v>
      </c>
      <c r="O513" s="8" t="s">
        <v>30</v>
      </c>
      <c r="P513" t="str">
        <f>TEXT(Table1[[#This Row],[Transaction_Date]],"mmm")</f>
        <v>May</v>
      </c>
      <c r="Q513" s="11">
        <v>45784</v>
      </c>
      <c r="R513" s="8" t="s">
        <v>1312</v>
      </c>
      <c r="S513" s="8" t="s">
        <v>70</v>
      </c>
      <c r="T513" s="9">
        <v>5829.83</v>
      </c>
      <c r="U513" t="s">
        <v>45</v>
      </c>
      <c r="V513" s="8" t="s">
        <v>62</v>
      </c>
      <c r="W513"/>
      <c r="X513"/>
    </row>
    <row r="514" spans="1:24" x14ac:dyDescent="0.3">
      <c r="A514" t="s">
        <v>1313</v>
      </c>
      <c r="B514" t="s">
        <v>992</v>
      </c>
      <c r="C514">
        <v>18</v>
      </c>
      <c r="D514" t="s">
        <v>97</v>
      </c>
      <c r="E514" t="s">
        <v>98</v>
      </c>
      <c r="F514" t="s">
        <v>97</v>
      </c>
      <c r="G514" t="s">
        <v>39</v>
      </c>
      <c r="H514" s="8" t="s">
        <v>27</v>
      </c>
      <c r="I514" s="9">
        <v>28799.84</v>
      </c>
      <c r="J514" s="9">
        <v>20798.919999999998</v>
      </c>
      <c r="K514" s="8" t="s">
        <v>74</v>
      </c>
      <c r="L514" s="10">
        <v>0</v>
      </c>
      <c r="M514" s="8" t="s">
        <v>75</v>
      </c>
      <c r="N514" s="9">
        <v>0</v>
      </c>
      <c r="O514" s="8" t="s">
        <v>30</v>
      </c>
      <c r="P514" t="str">
        <f>TEXT(Table1[[#This Row],[Transaction_Date]],"mmm")</f>
        <v>Jul</v>
      </c>
      <c r="Q514" s="11">
        <v>45861</v>
      </c>
      <c r="R514" s="8" t="s">
        <v>1314</v>
      </c>
      <c r="S514" s="8" t="s">
        <v>70</v>
      </c>
      <c r="T514" s="9">
        <v>5876.57</v>
      </c>
      <c r="U514" t="s">
        <v>33</v>
      </c>
      <c r="V514" s="8" t="s">
        <v>62</v>
      </c>
      <c r="W514"/>
      <c r="X514"/>
    </row>
    <row r="515" spans="1:24" hidden="1" x14ac:dyDescent="0.3">
      <c r="A515" t="s">
        <v>1315</v>
      </c>
      <c r="B515" t="s">
        <v>1316</v>
      </c>
      <c r="C515">
        <v>21</v>
      </c>
      <c r="D515" t="s">
        <v>84</v>
      </c>
      <c r="E515" t="s">
        <v>85</v>
      </c>
      <c r="F515" t="s">
        <v>84</v>
      </c>
      <c r="G515" t="s">
        <v>80</v>
      </c>
      <c r="H515" s="8" t="s">
        <v>40</v>
      </c>
      <c r="I515" s="9">
        <v>41439.96</v>
      </c>
      <c r="J515" s="9">
        <v>43663.83</v>
      </c>
      <c r="K515" s="8" t="s">
        <v>74</v>
      </c>
      <c r="L515" s="10">
        <v>0</v>
      </c>
      <c r="M515" s="8" t="s">
        <v>75</v>
      </c>
      <c r="N515" s="9">
        <v>0</v>
      </c>
      <c r="O515" s="8" t="s">
        <v>30</v>
      </c>
      <c r="P515" t="str">
        <f>TEXT(Table1[[#This Row],[Transaction_Date]],"mmm")</f>
        <v>Jun</v>
      </c>
      <c r="Q515" s="11">
        <v>45811</v>
      </c>
      <c r="R515" s="8" t="s">
        <v>1317</v>
      </c>
      <c r="S515" s="8" t="s">
        <v>54</v>
      </c>
      <c r="T515" s="9">
        <v>5552.64</v>
      </c>
      <c r="U515" t="s">
        <v>61</v>
      </c>
      <c r="V515" s="8" t="s">
        <v>62</v>
      </c>
      <c r="W515"/>
      <c r="X515"/>
    </row>
    <row r="516" spans="1:24" x14ac:dyDescent="0.3">
      <c r="A516" t="s">
        <v>1318</v>
      </c>
      <c r="B516" t="s">
        <v>847</v>
      </c>
      <c r="C516">
        <v>37</v>
      </c>
      <c r="D516" t="s">
        <v>65</v>
      </c>
      <c r="E516" t="s">
        <v>66</v>
      </c>
      <c r="F516" t="s">
        <v>65</v>
      </c>
      <c r="G516" t="s">
        <v>39</v>
      </c>
      <c r="H516" s="8" t="s">
        <v>27</v>
      </c>
      <c r="I516" s="9">
        <v>12000</v>
      </c>
      <c r="J516" s="9">
        <v>24909.9</v>
      </c>
      <c r="K516" s="8" t="s">
        <v>28</v>
      </c>
      <c r="L516" s="10">
        <v>90768.09</v>
      </c>
      <c r="M516" s="8" t="s">
        <v>29</v>
      </c>
      <c r="N516" s="9">
        <v>72836.63</v>
      </c>
      <c r="O516" s="8" t="s">
        <v>30</v>
      </c>
      <c r="P516" t="str">
        <f>TEXT(Table1[[#This Row],[Transaction_Date]],"mmm")</f>
        <v>Jan</v>
      </c>
      <c r="Q516" s="11">
        <v>45678</v>
      </c>
      <c r="R516" s="8" t="s">
        <v>1319</v>
      </c>
      <c r="S516" s="8" t="s">
        <v>54</v>
      </c>
      <c r="T516" s="9">
        <v>1903.34</v>
      </c>
      <c r="U516" t="s">
        <v>71</v>
      </c>
      <c r="V516" s="8" t="s">
        <v>62</v>
      </c>
      <c r="W516"/>
      <c r="X516"/>
    </row>
    <row r="517" spans="1:24" hidden="1" x14ac:dyDescent="0.3">
      <c r="A517" t="s">
        <v>1320</v>
      </c>
      <c r="B517" t="s">
        <v>206</v>
      </c>
      <c r="C517">
        <v>23</v>
      </c>
      <c r="D517" t="s">
        <v>65</v>
      </c>
      <c r="E517" t="s">
        <v>66</v>
      </c>
      <c r="F517" t="s">
        <v>65</v>
      </c>
      <c r="G517" t="s">
        <v>80</v>
      </c>
      <c r="H517" s="8" t="s">
        <v>40</v>
      </c>
      <c r="I517" s="9">
        <v>86216.44</v>
      </c>
      <c r="J517" s="9">
        <v>6998.43</v>
      </c>
      <c r="K517" s="8" t="s">
        <v>74</v>
      </c>
      <c r="L517" s="10">
        <v>0</v>
      </c>
      <c r="M517" s="8" t="s">
        <v>75</v>
      </c>
      <c r="N517" s="9">
        <v>0</v>
      </c>
      <c r="O517" s="8" t="s">
        <v>30</v>
      </c>
      <c r="P517" t="str">
        <f>TEXT(Table1[[#This Row],[Transaction_Date]],"mmm")</f>
        <v>Sep</v>
      </c>
      <c r="Q517" s="11">
        <v>45906</v>
      </c>
      <c r="R517" s="8" t="s">
        <v>1321</v>
      </c>
      <c r="S517" s="8" t="s">
        <v>54</v>
      </c>
      <c r="T517" s="9">
        <v>3721.62</v>
      </c>
      <c r="U517" t="s">
        <v>106</v>
      </c>
      <c r="V517" s="8" t="s">
        <v>62</v>
      </c>
      <c r="W517"/>
      <c r="X517"/>
    </row>
    <row r="518" spans="1:24" x14ac:dyDescent="0.3">
      <c r="A518" t="s">
        <v>1322</v>
      </c>
      <c r="B518" t="s">
        <v>117</v>
      </c>
      <c r="C518">
        <v>39</v>
      </c>
      <c r="D518" t="s">
        <v>84</v>
      </c>
      <c r="E518" t="s">
        <v>85</v>
      </c>
      <c r="F518" t="s">
        <v>84</v>
      </c>
      <c r="G518" t="s">
        <v>39</v>
      </c>
      <c r="H518" s="8" t="s">
        <v>51</v>
      </c>
      <c r="I518" s="9">
        <v>52499.33</v>
      </c>
      <c r="J518" s="9">
        <v>11606.12</v>
      </c>
      <c r="K518" s="8" t="s">
        <v>68</v>
      </c>
      <c r="L518" s="10">
        <v>53758.41</v>
      </c>
      <c r="M518" s="8" t="s">
        <v>42</v>
      </c>
      <c r="N518" s="9">
        <v>0</v>
      </c>
      <c r="O518" s="8" t="s">
        <v>30</v>
      </c>
      <c r="P518" t="str">
        <f>TEXT(Table1[[#This Row],[Transaction_Date]],"mmm")</f>
        <v>Jan</v>
      </c>
      <c r="Q518" s="11">
        <v>45669</v>
      </c>
      <c r="R518" s="8" t="s">
        <v>1323</v>
      </c>
      <c r="S518" s="8" t="s">
        <v>70</v>
      </c>
      <c r="T518" s="9">
        <v>2527.33</v>
      </c>
      <c r="U518" t="s">
        <v>106</v>
      </c>
      <c r="V518" s="8" t="s">
        <v>62</v>
      </c>
      <c r="W518"/>
      <c r="X518"/>
    </row>
    <row r="519" spans="1:24" x14ac:dyDescent="0.3">
      <c r="A519" t="s">
        <v>1324</v>
      </c>
      <c r="B519" t="s">
        <v>643</v>
      </c>
      <c r="C519">
        <v>21</v>
      </c>
      <c r="D519" t="s">
        <v>49</v>
      </c>
      <c r="E519" t="s">
        <v>50</v>
      </c>
      <c r="F519" t="s">
        <v>49</v>
      </c>
      <c r="G519" t="s">
        <v>39</v>
      </c>
      <c r="H519" s="8" t="s">
        <v>27</v>
      </c>
      <c r="I519" s="9">
        <v>54706.68</v>
      </c>
      <c r="J519" s="9">
        <v>60824.23</v>
      </c>
      <c r="K519" s="8" t="s">
        <v>74</v>
      </c>
      <c r="L519" s="10">
        <v>0</v>
      </c>
      <c r="M519" s="8" t="s">
        <v>75</v>
      </c>
      <c r="N519" s="9">
        <v>0</v>
      </c>
      <c r="O519" s="8" t="s">
        <v>30</v>
      </c>
      <c r="P519" t="str">
        <f>TEXT(Table1[[#This Row],[Transaction_Date]],"mmm")</f>
        <v>Feb</v>
      </c>
      <c r="Q519" s="11">
        <v>45706</v>
      </c>
      <c r="R519" s="8" t="s">
        <v>1325</v>
      </c>
      <c r="S519" s="8" t="s">
        <v>32</v>
      </c>
      <c r="T519" s="9">
        <v>1481.21</v>
      </c>
      <c r="U519" t="s">
        <v>33</v>
      </c>
      <c r="V519" s="8" t="s">
        <v>62</v>
      </c>
      <c r="W519"/>
      <c r="X519"/>
    </row>
    <row r="520" spans="1:24" hidden="1" x14ac:dyDescent="0.3">
      <c r="A520" t="s">
        <v>1326</v>
      </c>
      <c r="B520" t="s">
        <v>1327</v>
      </c>
      <c r="C520">
        <v>56</v>
      </c>
      <c r="D520" t="s">
        <v>57</v>
      </c>
      <c r="E520" t="s">
        <v>58</v>
      </c>
      <c r="F520" t="s">
        <v>57</v>
      </c>
      <c r="G520" t="s">
        <v>80</v>
      </c>
      <c r="H520" s="8" t="s">
        <v>27</v>
      </c>
      <c r="I520" s="9">
        <v>60434.720000000001</v>
      </c>
      <c r="J520" s="9">
        <v>15357.79</v>
      </c>
      <c r="K520" s="8" t="s">
        <v>52</v>
      </c>
      <c r="L520" s="10">
        <v>219368.31</v>
      </c>
      <c r="M520" s="8" t="s">
        <v>42</v>
      </c>
      <c r="N520" s="9">
        <v>0</v>
      </c>
      <c r="O520" s="8" t="s">
        <v>30</v>
      </c>
      <c r="P520" t="str">
        <f>TEXT(Table1[[#This Row],[Transaction_Date]],"mmm")</f>
        <v>Jul</v>
      </c>
      <c r="Q520" s="11">
        <v>45842</v>
      </c>
      <c r="R520" s="8" t="s">
        <v>1328</v>
      </c>
      <c r="S520" s="8" t="s">
        <v>44</v>
      </c>
      <c r="T520" s="9">
        <v>1857.41</v>
      </c>
      <c r="U520" t="s">
        <v>71</v>
      </c>
      <c r="V520" s="8" t="s">
        <v>62</v>
      </c>
      <c r="W520"/>
      <c r="X520"/>
    </row>
    <row r="521" spans="1:24" hidden="1" x14ac:dyDescent="0.3">
      <c r="A521" t="s">
        <v>1329</v>
      </c>
      <c r="B521" t="s">
        <v>373</v>
      </c>
      <c r="C521">
        <v>32</v>
      </c>
      <c r="D521" t="s">
        <v>92</v>
      </c>
      <c r="E521" t="s">
        <v>93</v>
      </c>
      <c r="F521" t="s">
        <v>92</v>
      </c>
      <c r="G521" t="s">
        <v>80</v>
      </c>
      <c r="H521" s="8" t="s">
        <v>67</v>
      </c>
      <c r="I521" s="9">
        <v>12000</v>
      </c>
      <c r="J521" s="9">
        <v>14480.2</v>
      </c>
      <c r="K521" s="8" t="s">
        <v>68</v>
      </c>
      <c r="L521" s="10">
        <v>77248.13</v>
      </c>
      <c r="M521" s="8" t="s">
        <v>29</v>
      </c>
      <c r="N521" s="9">
        <v>33999.97</v>
      </c>
      <c r="O521" s="8" t="s">
        <v>228</v>
      </c>
      <c r="P521" t="str">
        <f>TEXT(Table1[[#This Row],[Transaction_Date]],"mmm")</f>
        <v>Mar</v>
      </c>
      <c r="Q521" s="11">
        <v>45731</v>
      </c>
      <c r="R521" s="8" t="s">
        <v>1330</v>
      </c>
      <c r="S521" s="8" t="s">
        <v>54</v>
      </c>
      <c r="T521" s="9">
        <v>929.77</v>
      </c>
      <c r="U521" t="s">
        <v>45</v>
      </c>
      <c r="V521" s="8" t="s">
        <v>62</v>
      </c>
      <c r="W521"/>
      <c r="X521"/>
    </row>
    <row r="522" spans="1:24" hidden="1" x14ac:dyDescent="0.3">
      <c r="A522" t="s">
        <v>1331</v>
      </c>
      <c r="B522" t="s">
        <v>1065</v>
      </c>
      <c r="C522">
        <v>22</v>
      </c>
      <c r="D522" t="s">
        <v>65</v>
      </c>
      <c r="E522" t="s">
        <v>66</v>
      </c>
      <c r="F522" t="s">
        <v>65</v>
      </c>
      <c r="G522" t="s">
        <v>80</v>
      </c>
      <c r="H522" s="8" t="s">
        <v>40</v>
      </c>
      <c r="I522" s="9">
        <v>61469.11</v>
      </c>
      <c r="J522" s="9">
        <v>34576.67</v>
      </c>
      <c r="K522" s="8" t="s">
        <v>74</v>
      </c>
      <c r="L522" s="10">
        <v>0</v>
      </c>
      <c r="M522" s="8" t="s">
        <v>75</v>
      </c>
      <c r="N522" s="9">
        <v>0</v>
      </c>
      <c r="O522" s="8" t="s">
        <v>30</v>
      </c>
      <c r="P522" t="str">
        <f>TEXT(Table1[[#This Row],[Transaction_Date]],"mmm")</f>
        <v>Feb</v>
      </c>
      <c r="Q522" s="11">
        <v>45699</v>
      </c>
      <c r="R522" s="8" t="s">
        <v>1332</v>
      </c>
      <c r="S522" s="8" t="s">
        <v>70</v>
      </c>
      <c r="T522" s="9">
        <v>2029.51</v>
      </c>
      <c r="U522" t="s">
        <v>33</v>
      </c>
      <c r="V522" s="8" t="s">
        <v>62</v>
      </c>
      <c r="W522"/>
      <c r="X522"/>
    </row>
    <row r="523" spans="1:24" x14ac:dyDescent="0.3">
      <c r="A523" t="s">
        <v>1333</v>
      </c>
      <c r="B523" t="s">
        <v>1065</v>
      </c>
      <c r="C523">
        <v>29</v>
      </c>
      <c r="D523" t="s">
        <v>65</v>
      </c>
      <c r="E523" t="s">
        <v>66</v>
      </c>
      <c r="F523" t="s">
        <v>65</v>
      </c>
      <c r="G523" t="s">
        <v>39</v>
      </c>
      <c r="H523" s="8" t="s">
        <v>51</v>
      </c>
      <c r="I523" s="9">
        <v>38513.480000000003</v>
      </c>
      <c r="J523" s="9">
        <v>15996.89</v>
      </c>
      <c r="K523" s="8" t="s">
        <v>74</v>
      </c>
      <c r="L523" s="10">
        <v>0</v>
      </c>
      <c r="M523" s="8" t="s">
        <v>75</v>
      </c>
      <c r="N523" s="9">
        <v>0</v>
      </c>
      <c r="O523" s="8" t="s">
        <v>30</v>
      </c>
      <c r="P523" t="str">
        <f>TEXT(Table1[[#This Row],[Transaction_Date]],"mmm")</f>
        <v>May</v>
      </c>
      <c r="Q523" s="11">
        <v>45780</v>
      </c>
      <c r="R523" s="8" t="s">
        <v>1334</v>
      </c>
      <c r="S523" s="8" t="s">
        <v>32</v>
      </c>
      <c r="T523" s="9">
        <v>1531.52</v>
      </c>
      <c r="U523" t="s">
        <v>33</v>
      </c>
      <c r="V523" s="8" t="s">
        <v>62</v>
      </c>
      <c r="W523"/>
      <c r="X523"/>
    </row>
    <row r="524" spans="1:24" hidden="1" x14ac:dyDescent="0.3">
      <c r="A524" t="s">
        <v>1335</v>
      </c>
      <c r="B524" t="s">
        <v>553</v>
      </c>
      <c r="C524">
        <v>59</v>
      </c>
      <c r="D524" t="s">
        <v>57</v>
      </c>
      <c r="E524" t="s">
        <v>58</v>
      </c>
      <c r="F524" t="s">
        <v>57</v>
      </c>
      <c r="G524" t="s">
        <v>80</v>
      </c>
      <c r="H524" s="8" t="s">
        <v>40</v>
      </c>
      <c r="I524" s="9">
        <v>64668.69</v>
      </c>
      <c r="J524" s="9">
        <v>114103.08</v>
      </c>
      <c r="K524" s="8" t="s">
        <v>59</v>
      </c>
      <c r="L524" s="10">
        <v>55618.3</v>
      </c>
      <c r="M524" s="8" t="s">
        <v>29</v>
      </c>
      <c r="N524" s="9">
        <v>23132.19</v>
      </c>
      <c r="O524" s="8" t="s">
        <v>30</v>
      </c>
      <c r="P524" t="str">
        <f>TEXT(Table1[[#This Row],[Transaction_Date]],"mmm")</f>
        <v>Aug</v>
      </c>
      <c r="Q524" s="11">
        <v>45891</v>
      </c>
      <c r="R524" s="8" t="s">
        <v>1336</v>
      </c>
      <c r="S524" s="8" t="s">
        <v>44</v>
      </c>
      <c r="T524" s="9">
        <v>2842.03</v>
      </c>
      <c r="U524" t="s">
        <v>106</v>
      </c>
      <c r="V524" s="8" t="s">
        <v>62</v>
      </c>
      <c r="W524"/>
      <c r="X524"/>
    </row>
    <row r="525" spans="1:24" x14ac:dyDescent="0.3">
      <c r="A525" t="s">
        <v>1337</v>
      </c>
      <c r="B525" t="s">
        <v>1338</v>
      </c>
      <c r="C525">
        <v>31</v>
      </c>
      <c r="D525" t="s">
        <v>84</v>
      </c>
      <c r="E525" t="s">
        <v>85</v>
      </c>
      <c r="F525" t="s">
        <v>84</v>
      </c>
      <c r="G525" t="s">
        <v>39</v>
      </c>
      <c r="H525" s="8" t="s">
        <v>67</v>
      </c>
      <c r="I525" s="9">
        <v>35042.32</v>
      </c>
      <c r="J525" s="9">
        <v>10560</v>
      </c>
      <c r="K525" s="8" t="s">
        <v>68</v>
      </c>
      <c r="L525" s="10">
        <v>59689.919999999998</v>
      </c>
      <c r="M525" s="8" t="s">
        <v>42</v>
      </c>
      <c r="N525" s="9">
        <v>0</v>
      </c>
      <c r="O525" s="8" t="s">
        <v>30</v>
      </c>
      <c r="P525" t="str">
        <f>TEXT(Table1[[#This Row],[Transaction_Date]],"mmm")</f>
        <v>Mar</v>
      </c>
      <c r="Q525" s="11">
        <v>45727</v>
      </c>
      <c r="R525" s="8" t="s">
        <v>1339</v>
      </c>
      <c r="S525" s="8" t="s">
        <v>44</v>
      </c>
      <c r="T525" s="9">
        <v>17590.75</v>
      </c>
      <c r="U525" t="s">
        <v>61</v>
      </c>
      <c r="V525" s="8" t="s">
        <v>62</v>
      </c>
      <c r="W525"/>
      <c r="X525"/>
    </row>
    <row r="526" spans="1:24" x14ac:dyDescent="0.3">
      <c r="A526" t="s">
        <v>1340</v>
      </c>
      <c r="B526" t="s">
        <v>472</v>
      </c>
      <c r="C526">
        <v>35</v>
      </c>
      <c r="D526" t="s">
        <v>24</v>
      </c>
      <c r="E526" t="s">
        <v>25</v>
      </c>
      <c r="F526" t="s">
        <v>24</v>
      </c>
      <c r="G526" t="s">
        <v>39</v>
      </c>
      <c r="H526" s="8" t="s">
        <v>40</v>
      </c>
      <c r="I526" s="9">
        <v>52298.720000000001</v>
      </c>
      <c r="J526" s="9">
        <v>10794.38</v>
      </c>
      <c r="K526" s="8" t="s">
        <v>59</v>
      </c>
      <c r="L526" s="10">
        <v>64334.26</v>
      </c>
      <c r="M526" s="8" t="s">
        <v>42</v>
      </c>
      <c r="N526" s="9">
        <v>0</v>
      </c>
      <c r="O526" s="8" t="s">
        <v>30</v>
      </c>
      <c r="P526" t="str">
        <f>TEXT(Table1[[#This Row],[Transaction_Date]],"mmm")</f>
        <v>Nov</v>
      </c>
      <c r="Q526" s="11">
        <v>45978</v>
      </c>
      <c r="R526" s="8" t="s">
        <v>1341</v>
      </c>
      <c r="S526" s="8" t="s">
        <v>32</v>
      </c>
      <c r="T526" s="9">
        <v>1958.04</v>
      </c>
      <c r="U526" t="s">
        <v>77</v>
      </c>
      <c r="V526" s="8" t="s">
        <v>62</v>
      </c>
      <c r="W526"/>
      <c r="X526"/>
    </row>
    <row r="527" spans="1:24" x14ac:dyDescent="0.3">
      <c r="A527" t="s">
        <v>1342</v>
      </c>
      <c r="B527" t="s">
        <v>421</v>
      </c>
      <c r="C527">
        <v>54</v>
      </c>
      <c r="D527" t="s">
        <v>24</v>
      </c>
      <c r="E527" t="s">
        <v>25</v>
      </c>
      <c r="F527" t="s">
        <v>24</v>
      </c>
      <c r="G527" t="s">
        <v>39</v>
      </c>
      <c r="H527" s="8" t="s">
        <v>40</v>
      </c>
      <c r="I527" s="9">
        <v>41900.69</v>
      </c>
      <c r="J527" s="9">
        <v>17124.060000000001</v>
      </c>
      <c r="K527" s="8" t="s">
        <v>59</v>
      </c>
      <c r="L527" s="10">
        <v>61420.99</v>
      </c>
      <c r="M527" s="8" t="s">
        <v>29</v>
      </c>
      <c r="N527" s="9">
        <v>52517.62</v>
      </c>
      <c r="O527" s="8" t="s">
        <v>30</v>
      </c>
      <c r="P527" t="str">
        <f>TEXT(Table1[[#This Row],[Transaction_Date]],"mmm")</f>
        <v>Oct</v>
      </c>
      <c r="Q527" s="11">
        <v>45950</v>
      </c>
      <c r="R527" s="8" t="s">
        <v>1343</v>
      </c>
      <c r="S527" s="8" t="s">
        <v>54</v>
      </c>
      <c r="T527" s="9">
        <v>8709.7099999999991</v>
      </c>
      <c r="U527" t="s">
        <v>61</v>
      </c>
      <c r="V527" s="8" t="s">
        <v>46</v>
      </c>
      <c r="W527"/>
      <c r="X527"/>
    </row>
    <row r="528" spans="1:24" x14ac:dyDescent="0.3">
      <c r="A528" t="s">
        <v>1344</v>
      </c>
      <c r="B528" t="s">
        <v>921</v>
      </c>
      <c r="C528">
        <v>45</v>
      </c>
      <c r="D528" t="s">
        <v>84</v>
      </c>
      <c r="E528" t="s">
        <v>85</v>
      </c>
      <c r="F528" t="s">
        <v>84</v>
      </c>
      <c r="G528" t="s">
        <v>39</v>
      </c>
      <c r="H528" s="8" t="s">
        <v>27</v>
      </c>
      <c r="I528" s="9">
        <v>88275.68</v>
      </c>
      <c r="J528" s="9">
        <v>102892.39</v>
      </c>
      <c r="K528" s="8" t="s">
        <v>74</v>
      </c>
      <c r="L528" s="10">
        <v>0</v>
      </c>
      <c r="M528" s="8" t="s">
        <v>75</v>
      </c>
      <c r="N528" s="9">
        <v>0</v>
      </c>
      <c r="O528" s="8" t="s">
        <v>30</v>
      </c>
      <c r="P528" t="str">
        <f>TEXT(Table1[[#This Row],[Transaction_Date]],"mmm")</f>
        <v>Jan</v>
      </c>
      <c r="Q528" s="11">
        <v>45658</v>
      </c>
      <c r="R528" s="8" t="s">
        <v>1345</v>
      </c>
      <c r="S528" s="8" t="s">
        <v>54</v>
      </c>
      <c r="T528" s="9">
        <v>1346.03</v>
      </c>
      <c r="U528" t="s">
        <v>33</v>
      </c>
      <c r="V528" s="8" t="s">
        <v>62</v>
      </c>
      <c r="W528"/>
      <c r="X528"/>
    </row>
    <row r="529" spans="1:24" x14ac:dyDescent="0.3">
      <c r="A529" t="s">
        <v>1346</v>
      </c>
      <c r="B529" t="s">
        <v>108</v>
      </c>
      <c r="C529">
        <v>41</v>
      </c>
      <c r="D529" t="s">
        <v>37</v>
      </c>
      <c r="E529" t="s">
        <v>38</v>
      </c>
      <c r="F529" t="s">
        <v>37</v>
      </c>
      <c r="G529" t="s">
        <v>39</v>
      </c>
      <c r="H529" s="8" t="s">
        <v>40</v>
      </c>
      <c r="I529" s="9">
        <v>77817.990000000005</v>
      </c>
      <c r="J529" s="9">
        <v>36180.410000000003</v>
      </c>
      <c r="K529" s="8" t="s">
        <v>68</v>
      </c>
      <c r="L529" s="10">
        <v>30246.48</v>
      </c>
      <c r="M529" s="8" t="s">
        <v>42</v>
      </c>
      <c r="N529" s="9">
        <v>0</v>
      </c>
      <c r="O529" s="8" t="s">
        <v>30</v>
      </c>
      <c r="P529" t="str">
        <f>TEXT(Table1[[#This Row],[Transaction_Date]],"mmm")</f>
        <v>Feb</v>
      </c>
      <c r="Q529" s="11">
        <v>45691</v>
      </c>
      <c r="R529" s="8" t="s">
        <v>1347</v>
      </c>
      <c r="S529" s="8" t="s">
        <v>54</v>
      </c>
      <c r="T529" s="9">
        <v>3140.63</v>
      </c>
      <c r="U529" t="s">
        <v>33</v>
      </c>
      <c r="V529" s="8" t="s">
        <v>62</v>
      </c>
      <c r="W529"/>
      <c r="X529"/>
    </row>
    <row r="530" spans="1:24" hidden="1" x14ac:dyDescent="0.3">
      <c r="A530" t="s">
        <v>1348</v>
      </c>
      <c r="B530" t="s">
        <v>442</v>
      </c>
      <c r="C530">
        <v>47</v>
      </c>
      <c r="D530" t="s">
        <v>57</v>
      </c>
      <c r="E530" t="s">
        <v>58</v>
      </c>
      <c r="F530" t="s">
        <v>57</v>
      </c>
      <c r="G530" t="s">
        <v>26</v>
      </c>
      <c r="H530" s="8" t="s">
        <v>40</v>
      </c>
      <c r="I530" s="9">
        <v>12000</v>
      </c>
      <c r="J530" s="9">
        <v>30457.85</v>
      </c>
      <c r="K530" s="8" t="s">
        <v>59</v>
      </c>
      <c r="L530" s="10">
        <v>34761.269999999997</v>
      </c>
      <c r="M530" s="8" t="s">
        <v>29</v>
      </c>
      <c r="N530" s="9">
        <v>13554.8</v>
      </c>
      <c r="O530" s="8" t="s">
        <v>228</v>
      </c>
      <c r="P530" t="str">
        <f>TEXT(Table1[[#This Row],[Transaction_Date]],"mmm")</f>
        <v>Mar</v>
      </c>
      <c r="Q530" s="11">
        <v>45743</v>
      </c>
      <c r="R530" s="8" t="s">
        <v>1349</v>
      </c>
      <c r="S530" s="8" t="s">
        <v>54</v>
      </c>
      <c r="T530" s="9">
        <v>3007.59</v>
      </c>
      <c r="U530" t="s">
        <v>33</v>
      </c>
      <c r="V530" s="8" t="s">
        <v>62</v>
      </c>
      <c r="W530"/>
      <c r="X530"/>
    </row>
    <row r="531" spans="1:24" x14ac:dyDescent="0.3">
      <c r="A531" t="s">
        <v>1350</v>
      </c>
      <c r="B531" t="s">
        <v>257</v>
      </c>
      <c r="C531">
        <v>18</v>
      </c>
      <c r="D531" t="s">
        <v>65</v>
      </c>
      <c r="E531" t="s">
        <v>66</v>
      </c>
      <c r="F531" t="s">
        <v>65</v>
      </c>
      <c r="G531" t="s">
        <v>39</v>
      </c>
      <c r="H531" s="8" t="s">
        <v>51</v>
      </c>
      <c r="I531" s="9">
        <v>83412.61</v>
      </c>
      <c r="J531" s="9">
        <v>11645.53</v>
      </c>
      <c r="K531" s="8" t="s">
        <v>59</v>
      </c>
      <c r="L531" s="10">
        <v>41613.360000000001</v>
      </c>
      <c r="M531" s="8" t="s">
        <v>42</v>
      </c>
      <c r="N531" s="9">
        <v>0</v>
      </c>
      <c r="O531" s="8" t="s">
        <v>30</v>
      </c>
      <c r="P531" t="str">
        <f>TEXT(Table1[[#This Row],[Transaction_Date]],"mmm")</f>
        <v>Aug</v>
      </c>
      <c r="Q531" s="11">
        <v>45879</v>
      </c>
      <c r="R531" s="8" t="s">
        <v>1351</v>
      </c>
      <c r="S531" s="8" t="s">
        <v>54</v>
      </c>
      <c r="T531" s="9">
        <v>1173.54</v>
      </c>
      <c r="U531" t="s">
        <v>77</v>
      </c>
      <c r="V531" s="8" t="s">
        <v>62</v>
      </c>
      <c r="W531"/>
      <c r="X531"/>
    </row>
    <row r="532" spans="1:24" x14ac:dyDescent="0.3">
      <c r="A532" t="s">
        <v>1352</v>
      </c>
      <c r="B532" t="s">
        <v>346</v>
      </c>
      <c r="C532">
        <v>59</v>
      </c>
      <c r="D532" t="s">
        <v>57</v>
      </c>
      <c r="E532" t="s">
        <v>58</v>
      </c>
      <c r="F532" t="s">
        <v>57</v>
      </c>
      <c r="G532" t="s">
        <v>39</v>
      </c>
      <c r="H532" s="8" t="s">
        <v>40</v>
      </c>
      <c r="I532" s="9">
        <v>86341.81</v>
      </c>
      <c r="J532" s="9">
        <v>9149.2199999999993</v>
      </c>
      <c r="K532" s="8" t="s">
        <v>68</v>
      </c>
      <c r="L532" s="10">
        <v>191651.51</v>
      </c>
      <c r="M532" s="8" t="s">
        <v>29</v>
      </c>
      <c r="N532" s="9">
        <v>53848.68</v>
      </c>
      <c r="O532" s="8" t="s">
        <v>30</v>
      </c>
      <c r="P532" t="str">
        <f>TEXT(Table1[[#This Row],[Transaction_Date]],"mmm")</f>
        <v>Jul</v>
      </c>
      <c r="Q532" s="11">
        <v>45859</v>
      </c>
      <c r="R532" s="8" t="s">
        <v>1353</v>
      </c>
      <c r="S532" s="8" t="s">
        <v>32</v>
      </c>
      <c r="T532" s="9">
        <v>5042.2700000000004</v>
      </c>
      <c r="U532" t="s">
        <v>45</v>
      </c>
      <c r="V532" s="8" t="s">
        <v>62</v>
      </c>
      <c r="W532"/>
      <c r="X532"/>
    </row>
    <row r="533" spans="1:24" hidden="1" x14ac:dyDescent="0.3">
      <c r="A533" t="s">
        <v>1354</v>
      </c>
      <c r="B533" t="s">
        <v>638</v>
      </c>
      <c r="C533">
        <v>33</v>
      </c>
      <c r="D533" t="s">
        <v>97</v>
      </c>
      <c r="E533" t="s">
        <v>98</v>
      </c>
      <c r="F533" t="s">
        <v>97</v>
      </c>
      <c r="G533" t="s">
        <v>51</v>
      </c>
      <c r="H533" s="8" t="s">
        <v>40</v>
      </c>
      <c r="I533" s="9">
        <v>66859.17</v>
      </c>
      <c r="J533" s="9">
        <v>22926.73</v>
      </c>
      <c r="K533" s="8" t="s">
        <v>74</v>
      </c>
      <c r="L533" s="10">
        <v>0</v>
      </c>
      <c r="M533" s="8" t="s">
        <v>75</v>
      </c>
      <c r="N533" s="9">
        <v>0</v>
      </c>
      <c r="O533" s="8" t="s">
        <v>30</v>
      </c>
      <c r="P533" t="str">
        <f>TEXT(Table1[[#This Row],[Transaction_Date]],"mmm")</f>
        <v>May</v>
      </c>
      <c r="Q533" s="11">
        <v>45782</v>
      </c>
      <c r="R533" s="8" t="s">
        <v>1355</v>
      </c>
      <c r="S533" s="8" t="s">
        <v>44</v>
      </c>
      <c r="T533" s="9">
        <v>4713.74</v>
      </c>
      <c r="U533" t="s">
        <v>61</v>
      </c>
      <c r="V533" s="8" t="s">
        <v>62</v>
      </c>
      <c r="W533"/>
      <c r="X533"/>
    </row>
    <row r="534" spans="1:24" hidden="1" x14ac:dyDescent="0.3">
      <c r="A534" t="s">
        <v>1356</v>
      </c>
      <c r="B534" t="s">
        <v>304</v>
      </c>
      <c r="C534">
        <v>55</v>
      </c>
      <c r="D534" t="s">
        <v>49</v>
      </c>
      <c r="E534" t="s">
        <v>50</v>
      </c>
      <c r="F534" t="s">
        <v>49</v>
      </c>
      <c r="G534" t="s">
        <v>26</v>
      </c>
      <c r="H534" s="8" t="s">
        <v>40</v>
      </c>
      <c r="I534" s="9">
        <v>88889.71</v>
      </c>
      <c r="J534" s="9">
        <v>18877.12</v>
      </c>
      <c r="K534" s="8" t="s">
        <v>74</v>
      </c>
      <c r="L534" s="10">
        <v>0</v>
      </c>
      <c r="M534" s="8" t="s">
        <v>75</v>
      </c>
      <c r="N534" s="9">
        <v>0</v>
      </c>
      <c r="O534" s="8" t="s">
        <v>30</v>
      </c>
      <c r="P534" t="str">
        <f>TEXT(Table1[[#This Row],[Transaction_Date]],"mmm")</f>
        <v>Jun</v>
      </c>
      <c r="Q534" s="11">
        <v>45835</v>
      </c>
      <c r="R534" s="8" t="s">
        <v>1357</v>
      </c>
      <c r="S534" s="8" t="s">
        <v>32</v>
      </c>
      <c r="T534" s="9">
        <v>7322.27</v>
      </c>
      <c r="U534" t="s">
        <v>77</v>
      </c>
      <c r="V534" s="8" t="s">
        <v>34</v>
      </c>
      <c r="W534"/>
      <c r="X534"/>
    </row>
    <row r="535" spans="1:24" x14ac:dyDescent="0.3">
      <c r="A535" t="s">
        <v>1358</v>
      </c>
      <c r="B535" t="s">
        <v>396</v>
      </c>
      <c r="C535">
        <v>26</v>
      </c>
      <c r="D535" t="s">
        <v>57</v>
      </c>
      <c r="E535" t="s">
        <v>58</v>
      </c>
      <c r="F535" t="s">
        <v>57</v>
      </c>
      <c r="G535" t="s">
        <v>39</v>
      </c>
      <c r="H535" s="8" t="s">
        <v>40</v>
      </c>
      <c r="I535" s="9">
        <v>71375.87</v>
      </c>
      <c r="J535" s="9">
        <v>42478.17</v>
      </c>
      <c r="K535" s="8" t="s">
        <v>74</v>
      </c>
      <c r="L535" s="10">
        <v>0</v>
      </c>
      <c r="M535" s="8" t="s">
        <v>75</v>
      </c>
      <c r="N535" s="9">
        <v>0</v>
      </c>
      <c r="O535" s="8" t="s">
        <v>30</v>
      </c>
      <c r="P535" t="str">
        <f>TEXT(Table1[[#This Row],[Transaction_Date]],"mmm")</f>
        <v>Dec</v>
      </c>
      <c r="Q535" s="11">
        <v>46000</v>
      </c>
      <c r="R535" s="8" t="s">
        <v>1359</v>
      </c>
      <c r="S535" s="8" t="s">
        <v>44</v>
      </c>
      <c r="T535" s="9">
        <v>5163.84</v>
      </c>
      <c r="U535" t="s">
        <v>61</v>
      </c>
      <c r="V535" s="8" t="s">
        <v>62</v>
      </c>
      <c r="W535"/>
      <c r="X535"/>
    </row>
    <row r="536" spans="1:24" hidden="1" x14ac:dyDescent="0.3">
      <c r="A536" t="s">
        <v>1360</v>
      </c>
      <c r="B536" t="s">
        <v>571</v>
      </c>
      <c r="C536">
        <v>19</v>
      </c>
      <c r="D536" t="s">
        <v>37</v>
      </c>
      <c r="E536" t="s">
        <v>38</v>
      </c>
      <c r="F536" t="s">
        <v>37</v>
      </c>
      <c r="G536" t="s">
        <v>51</v>
      </c>
      <c r="H536" s="8" t="s">
        <v>40</v>
      </c>
      <c r="I536" s="9">
        <v>43323.15</v>
      </c>
      <c r="J536" s="9">
        <v>85238.399999999994</v>
      </c>
      <c r="K536" s="8" t="s">
        <v>68</v>
      </c>
      <c r="L536" s="10">
        <v>27174.12</v>
      </c>
      <c r="M536" s="8" t="s">
        <v>29</v>
      </c>
      <c r="N536" s="9">
        <v>19939.32</v>
      </c>
      <c r="O536" s="8" t="s">
        <v>30</v>
      </c>
      <c r="P536" t="str">
        <f>TEXT(Table1[[#This Row],[Transaction_Date]],"mmm")</f>
        <v>Dec</v>
      </c>
      <c r="Q536" s="11">
        <v>45993</v>
      </c>
      <c r="R536" s="8" t="s">
        <v>1361</v>
      </c>
      <c r="S536" s="8" t="s">
        <v>70</v>
      </c>
      <c r="T536" s="9">
        <v>7282.96</v>
      </c>
      <c r="U536" t="s">
        <v>61</v>
      </c>
      <c r="V536" s="8" t="s">
        <v>34</v>
      </c>
      <c r="W536"/>
      <c r="X536"/>
    </row>
    <row r="537" spans="1:24" hidden="1" x14ac:dyDescent="0.3">
      <c r="A537" t="s">
        <v>1362</v>
      </c>
      <c r="B537" t="s">
        <v>1208</v>
      </c>
      <c r="C537">
        <v>39</v>
      </c>
      <c r="D537" t="s">
        <v>65</v>
      </c>
      <c r="E537" t="s">
        <v>66</v>
      </c>
      <c r="F537" t="s">
        <v>65</v>
      </c>
      <c r="G537" t="s">
        <v>26</v>
      </c>
      <c r="H537" s="8" t="s">
        <v>40</v>
      </c>
      <c r="I537" s="9">
        <v>70559.09</v>
      </c>
      <c r="J537" s="9">
        <v>23921.06</v>
      </c>
      <c r="K537" s="8" t="s">
        <v>28</v>
      </c>
      <c r="L537" s="10">
        <v>181014.84</v>
      </c>
      <c r="M537" s="8" t="s">
        <v>42</v>
      </c>
      <c r="N537" s="9">
        <v>0</v>
      </c>
      <c r="O537" s="8" t="s">
        <v>30</v>
      </c>
      <c r="P537" t="str">
        <f>TEXT(Table1[[#This Row],[Transaction_Date]],"mmm")</f>
        <v>Jun</v>
      </c>
      <c r="Q537" s="11">
        <v>45830</v>
      </c>
      <c r="R537" s="8" t="s">
        <v>1363</v>
      </c>
      <c r="S537" s="8" t="s">
        <v>54</v>
      </c>
      <c r="T537" s="9">
        <v>3439.38</v>
      </c>
      <c r="U537" t="s">
        <v>71</v>
      </c>
      <c r="V537" s="8" t="s">
        <v>62</v>
      </c>
      <c r="W537"/>
      <c r="X537"/>
    </row>
    <row r="538" spans="1:24" hidden="1" x14ac:dyDescent="0.3">
      <c r="A538" t="s">
        <v>1364</v>
      </c>
      <c r="B538" t="s">
        <v>1068</v>
      </c>
      <c r="C538">
        <v>50</v>
      </c>
      <c r="D538" t="s">
        <v>97</v>
      </c>
      <c r="E538" t="s">
        <v>98</v>
      </c>
      <c r="F538" t="s">
        <v>97</v>
      </c>
      <c r="G538" t="s">
        <v>80</v>
      </c>
      <c r="H538" s="8" t="s">
        <v>40</v>
      </c>
      <c r="I538" s="9">
        <v>44823.12</v>
      </c>
      <c r="J538" s="9">
        <v>35260.89</v>
      </c>
      <c r="K538" s="8" t="s">
        <v>74</v>
      </c>
      <c r="L538" s="10">
        <v>0</v>
      </c>
      <c r="M538" s="8" t="s">
        <v>75</v>
      </c>
      <c r="N538" s="9">
        <v>0</v>
      </c>
      <c r="O538" s="8" t="s">
        <v>30</v>
      </c>
      <c r="P538" t="str">
        <f>TEXT(Table1[[#This Row],[Transaction_Date]],"mmm")</f>
        <v>Feb</v>
      </c>
      <c r="Q538" s="11">
        <v>45698</v>
      </c>
      <c r="R538" s="8" t="s">
        <v>1365</v>
      </c>
      <c r="S538" s="8" t="s">
        <v>70</v>
      </c>
      <c r="T538" s="9">
        <v>8223.5400000000009</v>
      </c>
      <c r="U538" t="s">
        <v>77</v>
      </c>
      <c r="V538" s="8" t="s">
        <v>62</v>
      </c>
      <c r="W538"/>
      <c r="X538"/>
    </row>
    <row r="539" spans="1:24" x14ac:dyDescent="0.3">
      <c r="A539" t="s">
        <v>1366</v>
      </c>
      <c r="B539" t="s">
        <v>1116</v>
      </c>
      <c r="C539">
        <v>34</v>
      </c>
      <c r="D539" t="s">
        <v>65</v>
      </c>
      <c r="E539" t="s">
        <v>66</v>
      </c>
      <c r="F539" t="s">
        <v>65</v>
      </c>
      <c r="G539" t="s">
        <v>39</v>
      </c>
      <c r="H539" s="8" t="s">
        <v>40</v>
      </c>
      <c r="I539" s="9">
        <v>60462.34</v>
      </c>
      <c r="J539" s="9">
        <v>29614.84</v>
      </c>
      <c r="K539" s="8" t="s">
        <v>74</v>
      </c>
      <c r="L539" s="10">
        <v>0</v>
      </c>
      <c r="M539" s="8" t="s">
        <v>75</v>
      </c>
      <c r="N539" s="9">
        <v>0</v>
      </c>
      <c r="O539" s="8" t="s">
        <v>30</v>
      </c>
      <c r="P539" t="str">
        <f>TEXT(Table1[[#This Row],[Transaction_Date]],"mmm")</f>
        <v>Dec</v>
      </c>
      <c r="Q539" s="11">
        <v>45994</v>
      </c>
      <c r="R539" s="8" t="s">
        <v>1367</v>
      </c>
      <c r="S539" s="8" t="s">
        <v>70</v>
      </c>
      <c r="T539" s="9">
        <v>3229.33</v>
      </c>
      <c r="U539" t="s">
        <v>61</v>
      </c>
      <c r="V539" s="8" t="s">
        <v>62</v>
      </c>
      <c r="W539"/>
      <c r="X539"/>
    </row>
    <row r="540" spans="1:24" x14ac:dyDescent="0.3">
      <c r="A540" t="s">
        <v>1368</v>
      </c>
      <c r="B540" t="s">
        <v>734</v>
      </c>
      <c r="C540">
        <v>48</v>
      </c>
      <c r="D540" t="s">
        <v>92</v>
      </c>
      <c r="E540" t="s">
        <v>93</v>
      </c>
      <c r="F540" t="s">
        <v>92</v>
      </c>
      <c r="G540" t="s">
        <v>39</v>
      </c>
      <c r="H540" s="8" t="s">
        <v>51</v>
      </c>
      <c r="I540" s="9">
        <v>63832.21</v>
      </c>
      <c r="J540" s="9">
        <v>86492.5</v>
      </c>
      <c r="K540" s="8" t="s">
        <v>68</v>
      </c>
      <c r="L540" s="10">
        <v>25000</v>
      </c>
      <c r="M540" s="8" t="s">
        <v>29</v>
      </c>
      <c r="N540" s="9">
        <v>14654.89</v>
      </c>
      <c r="O540" s="8" t="s">
        <v>30</v>
      </c>
      <c r="P540" t="str">
        <f>TEXT(Table1[[#This Row],[Transaction_Date]],"mmm")</f>
        <v>Dec</v>
      </c>
      <c r="Q540" s="11">
        <v>46000</v>
      </c>
      <c r="R540" s="8" t="s">
        <v>1369</v>
      </c>
      <c r="S540" s="8" t="s">
        <v>32</v>
      </c>
      <c r="T540" s="9">
        <v>1965.83</v>
      </c>
      <c r="U540" t="s">
        <v>61</v>
      </c>
      <c r="V540" s="8" t="s">
        <v>62</v>
      </c>
      <c r="W540"/>
      <c r="X540"/>
    </row>
    <row r="541" spans="1:24" hidden="1" x14ac:dyDescent="0.3">
      <c r="A541" t="s">
        <v>1370</v>
      </c>
      <c r="B541" t="s">
        <v>120</v>
      </c>
      <c r="C541">
        <v>18</v>
      </c>
      <c r="D541" t="s">
        <v>65</v>
      </c>
      <c r="E541" t="s">
        <v>66</v>
      </c>
      <c r="F541" t="s">
        <v>65</v>
      </c>
      <c r="G541" t="s">
        <v>51</v>
      </c>
      <c r="H541" s="8" t="s">
        <v>40</v>
      </c>
      <c r="I541" s="9">
        <v>76175.06</v>
      </c>
      <c r="J541" s="9">
        <v>41998.73</v>
      </c>
      <c r="K541" s="8" t="s">
        <v>59</v>
      </c>
      <c r="L541" s="10">
        <v>25000</v>
      </c>
      <c r="M541" s="8" t="s">
        <v>42</v>
      </c>
      <c r="N541" s="9">
        <v>0</v>
      </c>
      <c r="O541" s="8" t="s">
        <v>30</v>
      </c>
      <c r="P541" t="str">
        <f>TEXT(Table1[[#This Row],[Transaction_Date]],"mmm")</f>
        <v>Jul</v>
      </c>
      <c r="Q541" s="11">
        <v>45848</v>
      </c>
      <c r="R541" s="8" t="s">
        <v>1371</v>
      </c>
      <c r="S541" s="8" t="s">
        <v>44</v>
      </c>
      <c r="T541" s="9">
        <v>24131.8</v>
      </c>
      <c r="U541" t="s">
        <v>61</v>
      </c>
      <c r="V541" s="8" t="s">
        <v>46</v>
      </c>
      <c r="W541"/>
      <c r="X541"/>
    </row>
    <row r="542" spans="1:24" x14ac:dyDescent="0.3">
      <c r="A542" t="s">
        <v>1372</v>
      </c>
      <c r="B542" t="s">
        <v>1050</v>
      </c>
      <c r="C542">
        <v>18</v>
      </c>
      <c r="D542" t="s">
        <v>65</v>
      </c>
      <c r="E542" t="s">
        <v>66</v>
      </c>
      <c r="F542" t="s">
        <v>65</v>
      </c>
      <c r="G542" t="s">
        <v>39</v>
      </c>
      <c r="H542" s="8" t="s">
        <v>40</v>
      </c>
      <c r="I542" s="9">
        <v>55093.760000000002</v>
      </c>
      <c r="J542" s="9">
        <v>109605.5</v>
      </c>
      <c r="K542" s="8" t="s">
        <v>59</v>
      </c>
      <c r="L542" s="10">
        <v>55916.02</v>
      </c>
      <c r="M542" s="8" t="s">
        <v>29</v>
      </c>
      <c r="N542" s="9">
        <v>52999.94</v>
      </c>
      <c r="O542" s="8" t="s">
        <v>30</v>
      </c>
      <c r="P542" t="str">
        <f>TEXT(Table1[[#This Row],[Transaction_Date]],"mmm")</f>
        <v>Aug</v>
      </c>
      <c r="Q542" s="11">
        <v>45876</v>
      </c>
      <c r="R542" s="8" t="s">
        <v>1373</v>
      </c>
      <c r="S542" s="8" t="s">
        <v>54</v>
      </c>
      <c r="T542" s="9">
        <v>18980.86</v>
      </c>
      <c r="U542" t="s">
        <v>71</v>
      </c>
      <c r="V542" s="8" t="s">
        <v>34</v>
      </c>
      <c r="W542"/>
      <c r="X542"/>
    </row>
    <row r="543" spans="1:24" hidden="1" x14ac:dyDescent="0.3">
      <c r="A543" t="s">
        <v>1374</v>
      </c>
      <c r="B543" t="s">
        <v>144</v>
      </c>
      <c r="C543">
        <v>42</v>
      </c>
      <c r="D543" t="s">
        <v>57</v>
      </c>
      <c r="E543" t="s">
        <v>58</v>
      </c>
      <c r="F543" t="s">
        <v>57</v>
      </c>
      <c r="G543" t="s">
        <v>51</v>
      </c>
      <c r="H543" s="8" t="s">
        <v>51</v>
      </c>
      <c r="I543" s="9">
        <v>47266.19</v>
      </c>
      <c r="J543" s="9">
        <v>13836.94</v>
      </c>
      <c r="K543" s="8" t="s">
        <v>59</v>
      </c>
      <c r="L543" s="10">
        <v>48678.45</v>
      </c>
      <c r="M543" s="8" t="s">
        <v>29</v>
      </c>
      <c r="N543" s="9">
        <v>12073.84</v>
      </c>
      <c r="O543" s="8" t="s">
        <v>30</v>
      </c>
      <c r="P543" t="str">
        <f>TEXT(Table1[[#This Row],[Transaction_Date]],"mmm")</f>
        <v>Jan</v>
      </c>
      <c r="Q543" s="11">
        <v>45685</v>
      </c>
      <c r="R543" s="8" t="s">
        <v>1375</v>
      </c>
      <c r="S543" s="8" t="s">
        <v>54</v>
      </c>
      <c r="T543" s="9">
        <v>2973.19</v>
      </c>
      <c r="U543" t="s">
        <v>45</v>
      </c>
      <c r="V543" s="8" t="s">
        <v>62</v>
      </c>
      <c r="W543"/>
      <c r="X543"/>
    </row>
    <row r="544" spans="1:24" hidden="1" x14ac:dyDescent="0.3">
      <c r="A544" t="s">
        <v>1376</v>
      </c>
      <c r="B544" t="s">
        <v>1377</v>
      </c>
      <c r="C544">
        <v>19</v>
      </c>
      <c r="D544" t="s">
        <v>84</v>
      </c>
      <c r="E544" t="s">
        <v>85</v>
      </c>
      <c r="F544" t="s">
        <v>84</v>
      </c>
      <c r="G544" t="s">
        <v>26</v>
      </c>
      <c r="H544" s="8" t="s">
        <v>40</v>
      </c>
      <c r="I544" s="9">
        <v>21037.72</v>
      </c>
      <c r="J544" s="9">
        <v>15168.24</v>
      </c>
      <c r="K544" s="8" t="s">
        <v>68</v>
      </c>
      <c r="L544" s="10">
        <v>91618.47</v>
      </c>
      <c r="M544" s="8" t="s">
        <v>42</v>
      </c>
      <c r="N544" s="9">
        <v>0</v>
      </c>
      <c r="O544" s="8" t="s">
        <v>30</v>
      </c>
      <c r="P544" t="str">
        <f>TEXT(Table1[[#This Row],[Transaction_Date]],"mmm")</f>
        <v>Jun</v>
      </c>
      <c r="Q544" s="11">
        <v>45833</v>
      </c>
      <c r="R544" s="8" t="s">
        <v>1378</v>
      </c>
      <c r="S544" s="8" t="s">
        <v>54</v>
      </c>
      <c r="T544" s="9">
        <v>8065.96</v>
      </c>
      <c r="U544" t="s">
        <v>61</v>
      </c>
      <c r="V544" s="8" t="s">
        <v>62</v>
      </c>
      <c r="W544"/>
      <c r="X544"/>
    </row>
    <row r="545" spans="1:24" hidden="1" x14ac:dyDescent="0.3">
      <c r="A545" t="s">
        <v>1379</v>
      </c>
      <c r="B545" t="s">
        <v>1171</v>
      </c>
      <c r="C545">
        <v>51</v>
      </c>
      <c r="D545" t="s">
        <v>92</v>
      </c>
      <c r="E545" t="s">
        <v>93</v>
      </c>
      <c r="F545" t="s">
        <v>92</v>
      </c>
      <c r="G545" t="s">
        <v>80</v>
      </c>
      <c r="H545" s="8" t="s">
        <v>67</v>
      </c>
      <c r="I545" s="9">
        <v>28579.89</v>
      </c>
      <c r="J545" s="9">
        <v>22268.87</v>
      </c>
      <c r="K545" s="8" t="s">
        <v>28</v>
      </c>
      <c r="L545" s="10">
        <v>111844.9</v>
      </c>
      <c r="M545" s="8" t="s">
        <v>42</v>
      </c>
      <c r="N545" s="9">
        <v>0</v>
      </c>
      <c r="O545" s="8" t="s">
        <v>30</v>
      </c>
      <c r="P545" t="str">
        <f>TEXT(Table1[[#This Row],[Transaction_Date]],"mmm")</f>
        <v>Nov</v>
      </c>
      <c r="Q545" s="11">
        <v>45966</v>
      </c>
      <c r="R545" s="8" t="s">
        <v>1380</v>
      </c>
      <c r="S545" s="8" t="s">
        <v>44</v>
      </c>
      <c r="T545" s="9">
        <v>1428.52</v>
      </c>
      <c r="U545" t="s">
        <v>106</v>
      </c>
      <c r="V545" s="8" t="s">
        <v>62</v>
      </c>
      <c r="W545"/>
      <c r="X545"/>
    </row>
    <row r="546" spans="1:24" hidden="1" x14ac:dyDescent="0.3">
      <c r="A546" t="s">
        <v>1381</v>
      </c>
      <c r="B546" t="s">
        <v>1185</v>
      </c>
      <c r="C546">
        <v>49</v>
      </c>
      <c r="D546" t="s">
        <v>24</v>
      </c>
      <c r="E546" t="s">
        <v>25</v>
      </c>
      <c r="F546" t="s">
        <v>24</v>
      </c>
      <c r="G546" t="s">
        <v>80</v>
      </c>
      <c r="H546" s="8" t="s">
        <v>51</v>
      </c>
      <c r="I546" s="9">
        <v>75593.240000000005</v>
      </c>
      <c r="J546" s="9">
        <v>62390.28</v>
      </c>
      <c r="K546" s="8" t="s">
        <v>74</v>
      </c>
      <c r="L546" s="10">
        <v>0</v>
      </c>
      <c r="M546" s="8" t="s">
        <v>75</v>
      </c>
      <c r="N546" s="9">
        <v>0</v>
      </c>
      <c r="O546" s="8" t="s">
        <v>30</v>
      </c>
      <c r="P546" t="str">
        <f>TEXT(Table1[[#This Row],[Transaction_Date]],"mmm")</f>
        <v>Nov</v>
      </c>
      <c r="Q546" s="11">
        <v>45984</v>
      </c>
      <c r="R546" s="8" t="s">
        <v>1382</v>
      </c>
      <c r="S546" s="8" t="s">
        <v>32</v>
      </c>
      <c r="T546" s="9">
        <v>4538.09</v>
      </c>
      <c r="U546" t="s">
        <v>71</v>
      </c>
      <c r="V546" s="8" t="s">
        <v>62</v>
      </c>
      <c r="W546"/>
      <c r="X546"/>
    </row>
    <row r="547" spans="1:24" hidden="1" x14ac:dyDescent="0.3">
      <c r="A547" t="s">
        <v>1383</v>
      </c>
      <c r="B547" t="s">
        <v>500</v>
      </c>
      <c r="C547">
        <v>34</v>
      </c>
      <c r="D547" t="s">
        <v>37</v>
      </c>
      <c r="E547" t="s">
        <v>38</v>
      </c>
      <c r="F547" t="s">
        <v>37</v>
      </c>
      <c r="G547" t="s">
        <v>51</v>
      </c>
      <c r="H547" s="8" t="s">
        <v>40</v>
      </c>
      <c r="I547" s="9">
        <v>37200.71</v>
      </c>
      <c r="J547" s="9">
        <v>30165.08</v>
      </c>
      <c r="K547" s="8" t="s">
        <v>68</v>
      </c>
      <c r="L547" s="10">
        <v>25000</v>
      </c>
      <c r="M547" s="8" t="s">
        <v>29</v>
      </c>
      <c r="N547" s="9">
        <v>5417.61</v>
      </c>
      <c r="O547" s="8" t="s">
        <v>30</v>
      </c>
      <c r="P547" t="str">
        <f>TEXT(Table1[[#This Row],[Transaction_Date]],"mmm")</f>
        <v>Nov</v>
      </c>
      <c r="Q547" s="11">
        <v>45964</v>
      </c>
      <c r="R547" s="8" t="s">
        <v>1384</v>
      </c>
      <c r="S547" s="8" t="s">
        <v>44</v>
      </c>
      <c r="T547" s="9">
        <v>4306.09</v>
      </c>
      <c r="U547" t="s">
        <v>71</v>
      </c>
      <c r="V547" s="8" t="s">
        <v>34</v>
      </c>
      <c r="W547"/>
      <c r="X547"/>
    </row>
    <row r="548" spans="1:24" hidden="1" x14ac:dyDescent="0.3">
      <c r="A548" t="s">
        <v>1385</v>
      </c>
      <c r="B548" t="s">
        <v>144</v>
      </c>
      <c r="C548">
        <v>29</v>
      </c>
      <c r="D548" t="s">
        <v>37</v>
      </c>
      <c r="E548" t="s">
        <v>38</v>
      </c>
      <c r="F548" t="s">
        <v>37</v>
      </c>
      <c r="G548" t="s">
        <v>51</v>
      </c>
      <c r="H548" s="8" t="s">
        <v>67</v>
      </c>
      <c r="I548" s="9">
        <v>46801.7</v>
      </c>
      <c r="J548" s="9">
        <v>54049.06</v>
      </c>
      <c r="K548" s="8" t="s">
        <v>74</v>
      </c>
      <c r="L548" s="10">
        <v>0</v>
      </c>
      <c r="M548" s="8" t="s">
        <v>75</v>
      </c>
      <c r="N548" s="9">
        <v>0</v>
      </c>
      <c r="O548" s="8" t="s">
        <v>30</v>
      </c>
      <c r="P548" t="str">
        <f>TEXT(Table1[[#This Row],[Transaction_Date]],"mmm")</f>
        <v>Mar</v>
      </c>
      <c r="Q548" s="11">
        <v>45726</v>
      </c>
      <c r="R548" s="8" t="s">
        <v>1386</v>
      </c>
      <c r="S548" s="8" t="s">
        <v>54</v>
      </c>
      <c r="T548" s="9">
        <v>2530.56</v>
      </c>
      <c r="U548" t="s">
        <v>61</v>
      </c>
      <c r="V548" s="8" t="s">
        <v>46</v>
      </c>
      <c r="W548"/>
      <c r="X548"/>
    </row>
    <row r="549" spans="1:24" x14ac:dyDescent="0.3">
      <c r="A549" t="s">
        <v>1387</v>
      </c>
      <c r="B549" t="s">
        <v>1083</v>
      </c>
      <c r="C549">
        <v>18</v>
      </c>
      <c r="D549" t="s">
        <v>65</v>
      </c>
      <c r="E549" t="s">
        <v>66</v>
      </c>
      <c r="F549" t="s">
        <v>65</v>
      </c>
      <c r="G549" t="s">
        <v>39</v>
      </c>
      <c r="H549" s="8" t="s">
        <v>40</v>
      </c>
      <c r="I549" s="9">
        <v>33351.61</v>
      </c>
      <c r="J549" s="9">
        <v>23743.75</v>
      </c>
      <c r="K549" s="8" t="s">
        <v>74</v>
      </c>
      <c r="L549" s="10">
        <v>0</v>
      </c>
      <c r="M549" s="8" t="s">
        <v>75</v>
      </c>
      <c r="N549" s="9">
        <v>0</v>
      </c>
      <c r="O549" s="8" t="s">
        <v>30</v>
      </c>
      <c r="P549" t="str">
        <f>TEXT(Table1[[#This Row],[Transaction_Date]],"mmm")</f>
        <v>Jan</v>
      </c>
      <c r="Q549" s="11">
        <v>45665</v>
      </c>
      <c r="R549" s="8" t="s">
        <v>1388</v>
      </c>
      <c r="S549" s="8" t="s">
        <v>44</v>
      </c>
      <c r="T549" s="9">
        <v>5320.39</v>
      </c>
      <c r="U549" t="s">
        <v>61</v>
      </c>
      <c r="V549" s="8" t="s">
        <v>62</v>
      </c>
      <c r="W549"/>
      <c r="X549"/>
    </row>
    <row r="550" spans="1:24" hidden="1" x14ac:dyDescent="0.3">
      <c r="A550" t="s">
        <v>1389</v>
      </c>
      <c r="B550" t="s">
        <v>460</v>
      </c>
      <c r="C550">
        <v>50</v>
      </c>
      <c r="D550" t="s">
        <v>84</v>
      </c>
      <c r="E550" t="s">
        <v>85</v>
      </c>
      <c r="F550" t="s">
        <v>84</v>
      </c>
      <c r="G550" t="s">
        <v>80</v>
      </c>
      <c r="H550" s="8" t="s">
        <v>51</v>
      </c>
      <c r="I550" s="9">
        <v>36549.26</v>
      </c>
      <c r="J550" s="9">
        <v>15594.05</v>
      </c>
      <c r="K550" s="8" t="s">
        <v>68</v>
      </c>
      <c r="L550" s="10">
        <v>130526.6</v>
      </c>
      <c r="M550" s="8" t="s">
        <v>29</v>
      </c>
      <c r="N550" s="9">
        <v>110229.66</v>
      </c>
      <c r="O550" s="8" t="s">
        <v>30</v>
      </c>
      <c r="P550" t="str">
        <f>TEXT(Table1[[#This Row],[Transaction_Date]],"mmm")</f>
        <v>Oct</v>
      </c>
      <c r="Q550" s="11">
        <v>45949</v>
      </c>
      <c r="R550" s="8" t="s">
        <v>1390</v>
      </c>
      <c r="S550" s="8" t="s">
        <v>70</v>
      </c>
      <c r="T550" s="9">
        <v>5064.92</v>
      </c>
      <c r="U550" t="s">
        <v>71</v>
      </c>
      <c r="V550" s="8" t="s">
        <v>46</v>
      </c>
      <c r="W550"/>
      <c r="X550"/>
    </row>
    <row r="551" spans="1:24" x14ac:dyDescent="0.3">
      <c r="A551" t="s">
        <v>1391</v>
      </c>
      <c r="B551" t="s">
        <v>556</v>
      </c>
      <c r="C551">
        <v>41</v>
      </c>
      <c r="D551" t="s">
        <v>49</v>
      </c>
      <c r="E551" t="s">
        <v>50</v>
      </c>
      <c r="F551" t="s">
        <v>49</v>
      </c>
      <c r="G551" t="s">
        <v>39</v>
      </c>
      <c r="H551" s="8" t="s">
        <v>40</v>
      </c>
      <c r="I551" s="9">
        <v>25167.86</v>
      </c>
      <c r="J551" s="9">
        <v>13885.49</v>
      </c>
      <c r="K551" s="8" t="s">
        <v>52</v>
      </c>
      <c r="L551" s="10">
        <v>30077.39</v>
      </c>
      <c r="M551" s="8" t="s">
        <v>29</v>
      </c>
      <c r="N551" s="9">
        <v>20997.46</v>
      </c>
      <c r="O551" s="8" t="s">
        <v>30</v>
      </c>
      <c r="P551" t="str">
        <f>TEXT(Table1[[#This Row],[Transaction_Date]],"mmm")</f>
        <v>Jun</v>
      </c>
      <c r="Q551" s="11">
        <v>45838</v>
      </c>
      <c r="R551" s="8" t="s">
        <v>1392</v>
      </c>
      <c r="S551" s="8" t="s">
        <v>70</v>
      </c>
      <c r="T551" s="9">
        <v>1527.36</v>
      </c>
      <c r="U551" t="s">
        <v>61</v>
      </c>
      <c r="V551" s="8" t="s">
        <v>46</v>
      </c>
      <c r="W551"/>
      <c r="X551"/>
    </row>
    <row r="552" spans="1:24" x14ac:dyDescent="0.3">
      <c r="A552" t="s">
        <v>1393</v>
      </c>
      <c r="B552" t="s">
        <v>83</v>
      </c>
      <c r="C552">
        <v>49</v>
      </c>
      <c r="D552" t="s">
        <v>97</v>
      </c>
      <c r="E552" t="s">
        <v>98</v>
      </c>
      <c r="F552" t="s">
        <v>97</v>
      </c>
      <c r="G552" t="s">
        <v>39</v>
      </c>
      <c r="H552" s="8" t="s">
        <v>40</v>
      </c>
      <c r="I552" s="9">
        <v>43814.94</v>
      </c>
      <c r="J552" s="9">
        <v>16700.71</v>
      </c>
      <c r="K552" s="8" t="s">
        <v>28</v>
      </c>
      <c r="L552" s="10">
        <v>30919.23</v>
      </c>
      <c r="M552" s="8" t="s">
        <v>29</v>
      </c>
      <c r="N552" s="9">
        <v>13000.64</v>
      </c>
      <c r="O552" s="8" t="s">
        <v>30</v>
      </c>
      <c r="P552" t="str">
        <f>TEXT(Table1[[#This Row],[Transaction_Date]],"mmm")</f>
        <v>Mar</v>
      </c>
      <c r="Q552" s="11">
        <v>45739</v>
      </c>
      <c r="R552" s="8" t="s">
        <v>1394</v>
      </c>
      <c r="S552" s="8" t="s">
        <v>32</v>
      </c>
      <c r="T552" s="9">
        <v>632.25</v>
      </c>
      <c r="U552" t="s">
        <v>77</v>
      </c>
      <c r="V552" s="8" t="s">
        <v>62</v>
      </c>
      <c r="W552"/>
      <c r="X552"/>
    </row>
    <row r="553" spans="1:24" hidden="1" x14ac:dyDescent="0.3">
      <c r="A553" t="s">
        <v>1395</v>
      </c>
      <c r="B553" t="s">
        <v>607</v>
      </c>
      <c r="C553">
        <v>50</v>
      </c>
      <c r="D553" t="s">
        <v>24</v>
      </c>
      <c r="E553" t="s">
        <v>25</v>
      </c>
      <c r="F553" t="s">
        <v>24</v>
      </c>
      <c r="G553" t="s">
        <v>26</v>
      </c>
      <c r="H553" s="8" t="s">
        <v>27</v>
      </c>
      <c r="I553" s="9">
        <v>64721.77</v>
      </c>
      <c r="J553" s="9">
        <v>22741.9</v>
      </c>
      <c r="K553" s="8" t="s">
        <v>68</v>
      </c>
      <c r="L553" s="10">
        <v>36431.919999999998</v>
      </c>
      <c r="M553" s="8" t="s">
        <v>29</v>
      </c>
      <c r="N553" s="9">
        <v>25195.95</v>
      </c>
      <c r="O553" s="8" t="s">
        <v>30</v>
      </c>
      <c r="P553" t="str">
        <f>TEXT(Table1[[#This Row],[Transaction_Date]],"mmm")</f>
        <v>Nov</v>
      </c>
      <c r="Q553" s="11">
        <v>45988</v>
      </c>
      <c r="R553" s="8" t="s">
        <v>1396</v>
      </c>
      <c r="S553" s="8" t="s">
        <v>70</v>
      </c>
      <c r="T553" s="9">
        <v>3984.87</v>
      </c>
      <c r="U553" t="s">
        <v>61</v>
      </c>
      <c r="V553" s="8" t="s">
        <v>62</v>
      </c>
      <c r="W553"/>
      <c r="X553"/>
    </row>
    <row r="554" spans="1:24" x14ac:dyDescent="0.3">
      <c r="A554" t="s">
        <v>1397</v>
      </c>
      <c r="B554" t="s">
        <v>152</v>
      </c>
      <c r="C554">
        <v>18</v>
      </c>
      <c r="D554" t="s">
        <v>49</v>
      </c>
      <c r="E554" t="s">
        <v>50</v>
      </c>
      <c r="F554" t="s">
        <v>49</v>
      </c>
      <c r="G554" t="s">
        <v>39</v>
      </c>
      <c r="H554" s="8" t="s">
        <v>27</v>
      </c>
      <c r="I554" s="9">
        <v>59654.78</v>
      </c>
      <c r="J554" s="9">
        <v>14117.72</v>
      </c>
      <c r="K554" s="8" t="s">
        <v>28</v>
      </c>
      <c r="L554" s="10">
        <v>25000</v>
      </c>
      <c r="M554" s="8" t="s">
        <v>29</v>
      </c>
      <c r="N554" s="9">
        <v>11174.47</v>
      </c>
      <c r="O554" s="8" t="s">
        <v>30</v>
      </c>
      <c r="P554" t="str">
        <f>TEXT(Table1[[#This Row],[Transaction_Date]],"mmm")</f>
        <v>Sep</v>
      </c>
      <c r="Q554" s="11">
        <v>45915</v>
      </c>
      <c r="R554" s="8" t="s">
        <v>1398</v>
      </c>
      <c r="S554" s="8" t="s">
        <v>54</v>
      </c>
      <c r="T554" s="9">
        <v>4001.17</v>
      </c>
      <c r="U554" t="s">
        <v>106</v>
      </c>
      <c r="V554" s="8" t="s">
        <v>62</v>
      </c>
      <c r="W554"/>
      <c r="X554"/>
    </row>
    <row r="555" spans="1:24" x14ac:dyDescent="0.3">
      <c r="A555" t="s">
        <v>1399</v>
      </c>
      <c r="B555" t="s">
        <v>592</v>
      </c>
      <c r="C555">
        <v>38</v>
      </c>
      <c r="D555" t="s">
        <v>49</v>
      </c>
      <c r="E555" t="s">
        <v>50</v>
      </c>
      <c r="F555" t="s">
        <v>49</v>
      </c>
      <c r="G555" t="s">
        <v>39</v>
      </c>
      <c r="H555" s="8" t="s">
        <v>51</v>
      </c>
      <c r="I555" s="9">
        <v>81442.5</v>
      </c>
      <c r="J555" s="9">
        <v>88903.9</v>
      </c>
      <c r="K555" s="8" t="s">
        <v>68</v>
      </c>
      <c r="L555" s="10">
        <v>60270.1</v>
      </c>
      <c r="M555" s="8" t="s">
        <v>29</v>
      </c>
      <c r="N555" s="9">
        <v>39378.480000000003</v>
      </c>
      <c r="O555" s="8" t="s">
        <v>30</v>
      </c>
      <c r="P555" t="str">
        <f>TEXT(Table1[[#This Row],[Transaction_Date]],"mmm")</f>
        <v>Nov</v>
      </c>
      <c r="Q555" s="11">
        <v>45973</v>
      </c>
      <c r="R555" s="8" t="s">
        <v>1400</v>
      </c>
      <c r="S555" s="8" t="s">
        <v>54</v>
      </c>
      <c r="T555" s="9">
        <v>1299.3</v>
      </c>
      <c r="U555" t="s">
        <v>61</v>
      </c>
      <c r="V555" s="8" t="s">
        <v>62</v>
      </c>
      <c r="W555"/>
      <c r="X555"/>
    </row>
    <row r="556" spans="1:24" hidden="1" x14ac:dyDescent="0.3">
      <c r="A556" t="s">
        <v>1401</v>
      </c>
      <c r="B556" t="s">
        <v>91</v>
      </c>
      <c r="C556">
        <v>18</v>
      </c>
      <c r="D556" t="s">
        <v>37</v>
      </c>
      <c r="E556" t="s">
        <v>38</v>
      </c>
      <c r="F556" t="s">
        <v>37</v>
      </c>
      <c r="G556" t="s">
        <v>51</v>
      </c>
      <c r="H556" s="8" t="s">
        <v>51</v>
      </c>
      <c r="I556" s="9">
        <v>85783.01</v>
      </c>
      <c r="J556" s="9">
        <v>20740.400000000001</v>
      </c>
      <c r="K556" s="8" t="s">
        <v>74</v>
      </c>
      <c r="L556" s="10">
        <v>0</v>
      </c>
      <c r="M556" s="8" t="s">
        <v>75</v>
      </c>
      <c r="N556" s="9">
        <v>0</v>
      </c>
      <c r="O556" s="8" t="s">
        <v>30</v>
      </c>
      <c r="P556" t="str">
        <f>TEXT(Table1[[#This Row],[Transaction_Date]],"mmm")</f>
        <v>May</v>
      </c>
      <c r="Q556" s="11">
        <v>45800</v>
      </c>
      <c r="R556" s="8" t="s">
        <v>1402</v>
      </c>
      <c r="S556" s="8" t="s">
        <v>32</v>
      </c>
      <c r="T556" s="9">
        <v>574.12</v>
      </c>
      <c r="U556" t="s">
        <v>61</v>
      </c>
      <c r="V556" s="8" t="s">
        <v>62</v>
      </c>
      <c r="W556"/>
      <c r="X556"/>
    </row>
    <row r="557" spans="1:24" x14ac:dyDescent="0.3">
      <c r="A557" t="s">
        <v>1403</v>
      </c>
      <c r="B557" t="s">
        <v>907</v>
      </c>
      <c r="C557">
        <v>19</v>
      </c>
      <c r="D557" t="s">
        <v>65</v>
      </c>
      <c r="E557" t="s">
        <v>66</v>
      </c>
      <c r="F557" t="s">
        <v>65</v>
      </c>
      <c r="G557" t="s">
        <v>39</v>
      </c>
      <c r="H557" s="8" t="s">
        <v>51</v>
      </c>
      <c r="I557" s="9">
        <v>90582.15</v>
      </c>
      <c r="J557" s="9">
        <v>6326.05</v>
      </c>
      <c r="K557" s="8" t="s">
        <v>74</v>
      </c>
      <c r="L557" s="10">
        <v>0</v>
      </c>
      <c r="M557" s="8" t="s">
        <v>75</v>
      </c>
      <c r="N557" s="9">
        <v>0</v>
      </c>
      <c r="O557" s="8" t="s">
        <v>30</v>
      </c>
      <c r="P557" t="str">
        <f>TEXT(Table1[[#This Row],[Transaction_Date]],"mmm")</f>
        <v>May</v>
      </c>
      <c r="Q557" s="11">
        <v>45806</v>
      </c>
      <c r="R557" s="8" t="s">
        <v>1404</v>
      </c>
      <c r="S557" s="8" t="s">
        <v>54</v>
      </c>
      <c r="T557" s="9">
        <v>1004.61</v>
      </c>
      <c r="U557" t="s">
        <v>33</v>
      </c>
      <c r="V557" s="8" t="s">
        <v>62</v>
      </c>
      <c r="W557"/>
      <c r="X557"/>
    </row>
    <row r="558" spans="1:24" hidden="1" x14ac:dyDescent="0.3">
      <c r="A558" t="s">
        <v>1405</v>
      </c>
      <c r="B558" t="s">
        <v>1193</v>
      </c>
      <c r="C558">
        <v>32</v>
      </c>
      <c r="D558" t="s">
        <v>24</v>
      </c>
      <c r="E558" t="s">
        <v>25</v>
      </c>
      <c r="F558" t="s">
        <v>24</v>
      </c>
      <c r="G558" t="s">
        <v>26</v>
      </c>
      <c r="H558" s="8" t="s">
        <v>40</v>
      </c>
      <c r="I558" s="9">
        <v>68729</v>
      </c>
      <c r="J558" s="9">
        <v>23947.66</v>
      </c>
      <c r="K558" s="8" t="s">
        <v>28</v>
      </c>
      <c r="L558" s="10">
        <v>85884.160000000003</v>
      </c>
      <c r="M558" s="8" t="s">
        <v>29</v>
      </c>
      <c r="N558" s="9">
        <v>21274.09</v>
      </c>
      <c r="O558" s="8" t="s">
        <v>30</v>
      </c>
      <c r="P558" t="str">
        <f>TEXT(Table1[[#This Row],[Transaction_Date]],"mmm")</f>
        <v>Jun</v>
      </c>
      <c r="Q558" s="11">
        <v>45832</v>
      </c>
      <c r="R558" s="8" t="s">
        <v>1406</v>
      </c>
      <c r="S558" s="8" t="s">
        <v>44</v>
      </c>
      <c r="T558" s="9">
        <v>960.7</v>
      </c>
      <c r="U558" t="s">
        <v>33</v>
      </c>
      <c r="V558" s="8" t="s">
        <v>62</v>
      </c>
      <c r="W558"/>
      <c r="X558"/>
    </row>
    <row r="559" spans="1:24" x14ac:dyDescent="0.3">
      <c r="A559" t="s">
        <v>1407</v>
      </c>
      <c r="B559" t="s">
        <v>787</v>
      </c>
      <c r="C559">
        <v>41</v>
      </c>
      <c r="D559" t="s">
        <v>65</v>
      </c>
      <c r="E559" t="s">
        <v>66</v>
      </c>
      <c r="F559" t="s">
        <v>65</v>
      </c>
      <c r="G559" t="s">
        <v>39</v>
      </c>
      <c r="H559" s="8" t="s">
        <v>40</v>
      </c>
      <c r="I559" s="9">
        <v>49345.41</v>
      </c>
      <c r="J559" s="9">
        <v>104903.67</v>
      </c>
      <c r="K559" s="8" t="s">
        <v>74</v>
      </c>
      <c r="L559" s="10">
        <v>0</v>
      </c>
      <c r="M559" s="8" t="s">
        <v>75</v>
      </c>
      <c r="N559" s="9">
        <v>0</v>
      </c>
      <c r="O559" s="8" t="s">
        <v>30</v>
      </c>
      <c r="P559" t="str">
        <f>TEXT(Table1[[#This Row],[Transaction_Date]],"mmm")</f>
        <v>Nov</v>
      </c>
      <c r="Q559" s="11">
        <v>45963</v>
      </c>
      <c r="R559" s="8" t="s">
        <v>1408</v>
      </c>
      <c r="S559" s="8" t="s">
        <v>70</v>
      </c>
      <c r="T559" s="9">
        <v>7564.91</v>
      </c>
      <c r="U559" t="s">
        <v>106</v>
      </c>
      <c r="V559" s="8" t="s">
        <v>46</v>
      </c>
      <c r="W559"/>
      <c r="X559"/>
    </row>
    <row r="560" spans="1:24" hidden="1" x14ac:dyDescent="0.3">
      <c r="A560" t="s">
        <v>1409</v>
      </c>
      <c r="B560" t="s">
        <v>1185</v>
      </c>
      <c r="C560">
        <v>44</v>
      </c>
      <c r="D560" t="s">
        <v>92</v>
      </c>
      <c r="E560" t="s">
        <v>93</v>
      </c>
      <c r="F560" t="s">
        <v>92</v>
      </c>
      <c r="G560" t="s">
        <v>80</v>
      </c>
      <c r="H560" s="8" t="s">
        <v>40</v>
      </c>
      <c r="I560" s="9">
        <v>108706.88</v>
      </c>
      <c r="J560" s="9">
        <v>167392.46</v>
      </c>
      <c r="K560" s="8" t="s">
        <v>59</v>
      </c>
      <c r="L560" s="10">
        <v>83103.75</v>
      </c>
      <c r="M560" s="8" t="s">
        <v>42</v>
      </c>
      <c r="N560" s="9">
        <v>0</v>
      </c>
      <c r="O560" s="8" t="s">
        <v>30</v>
      </c>
      <c r="P560" t="str">
        <f>TEXT(Table1[[#This Row],[Transaction_Date]],"mmm")</f>
        <v>Aug</v>
      </c>
      <c r="Q560" s="11">
        <v>45893</v>
      </c>
      <c r="R560" s="8" t="s">
        <v>1410</v>
      </c>
      <c r="S560" s="8" t="s">
        <v>32</v>
      </c>
      <c r="T560" s="9">
        <v>680.04</v>
      </c>
      <c r="U560" t="s">
        <v>106</v>
      </c>
      <c r="V560" s="8" t="s">
        <v>34</v>
      </c>
      <c r="W560"/>
      <c r="X560"/>
    </row>
    <row r="561" spans="1:24" x14ac:dyDescent="0.3">
      <c r="A561" t="s">
        <v>1411</v>
      </c>
      <c r="B561" t="s">
        <v>1412</v>
      </c>
      <c r="C561">
        <v>18</v>
      </c>
      <c r="D561" t="s">
        <v>65</v>
      </c>
      <c r="E561" t="s">
        <v>66</v>
      </c>
      <c r="F561" t="s">
        <v>65</v>
      </c>
      <c r="G561" t="s">
        <v>39</v>
      </c>
      <c r="H561" s="8" t="s">
        <v>40</v>
      </c>
      <c r="I561" s="9">
        <v>73423.28</v>
      </c>
      <c r="J561" s="9">
        <v>33548.65</v>
      </c>
      <c r="K561" s="8" t="s">
        <v>74</v>
      </c>
      <c r="L561" s="10">
        <v>0</v>
      </c>
      <c r="M561" s="8" t="s">
        <v>75</v>
      </c>
      <c r="N561" s="9">
        <v>0</v>
      </c>
      <c r="O561" s="8" t="s">
        <v>30</v>
      </c>
      <c r="P561" t="str">
        <f>TEXT(Table1[[#This Row],[Transaction_Date]],"mmm")</f>
        <v>Dec</v>
      </c>
      <c r="Q561" s="11">
        <v>46020</v>
      </c>
      <c r="R561" s="8" t="s">
        <v>1413</v>
      </c>
      <c r="S561" s="8" t="s">
        <v>70</v>
      </c>
      <c r="T561" s="9">
        <v>1606.54</v>
      </c>
      <c r="U561" t="s">
        <v>45</v>
      </c>
      <c r="V561" s="8" t="s">
        <v>62</v>
      </c>
      <c r="W561"/>
      <c r="X561"/>
    </row>
    <row r="562" spans="1:24" x14ac:dyDescent="0.3">
      <c r="A562" t="s">
        <v>1414</v>
      </c>
      <c r="B562" t="s">
        <v>734</v>
      </c>
      <c r="C562">
        <v>48</v>
      </c>
      <c r="D562" t="s">
        <v>49</v>
      </c>
      <c r="E562" t="s">
        <v>50</v>
      </c>
      <c r="F562" t="s">
        <v>49</v>
      </c>
      <c r="G562" t="s">
        <v>39</v>
      </c>
      <c r="H562" s="8" t="s">
        <v>27</v>
      </c>
      <c r="I562" s="9">
        <v>77674.52</v>
      </c>
      <c r="J562" s="9">
        <v>24119.79</v>
      </c>
      <c r="K562" s="8" t="s">
        <v>74</v>
      </c>
      <c r="L562" s="10">
        <v>0</v>
      </c>
      <c r="M562" s="8" t="s">
        <v>75</v>
      </c>
      <c r="N562" s="9">
        <v>0</v>
      </c>
      <c r="O562" s="8" t="s">
        <v>30</v>
      </c>
      <c r="P562" t="str">
        <f>TEXT(Table1[[#This Row],[Transaction_Date]],"mmm")</f>
        <v>Dec</v>
      </c>
      <c r="Q562" s="11">
        <v>45994</v>
      </c>
      <c r="R562" s="8" t="s">
        <v>1415</v>
      </c>
      <c r="S562" s="8" t="s">
        <v>70</v>
      </c>
      <c r="T562" s="9">
        <v>8606.9699999999993</v>
      </c>
      <c r="U562" t="s">
        <v>71</v>
      </c>
      <c r="V562" s="8" t="s">
        <v>62</v>
      </c>
      <c r="W562"/>
      <c r="X562"/>
    </row>
    <row r="563" spans="1:24" x14ac:dyDescent="0.3">
      <c r="A563" t="s">
        <v>1416</v>
      </c>
      <c r="B563" t="s">
        <v>527</v>
      </c>
      <c r="C563">
        <v>49</v>
      </c>
      <c r="D563" t="s">
        <v>97</v>
      </c>
      <c r="E563" t="s">
        <v>98</v>
      </c>
      <c r="F563" t="s">
        <v>97</v>
      </c>
      <c r="G563" t="s">
        <v>39</v>
      </c>
      <c r="H563" s="8" t="s">
        <v>40</v>
      </c>
      <c r="I563" s="9">
        <v>49541.04</v>
      </c>
      <c r="J563" s="9">
        <v>9753.5400000000009</v>
      </c>
      <c r="K563" s="8" t="s">
        <v>74</v>
      </c>
      <c r="L563" s="10">
        <v>0</v>
      </c>
      <c r="M563" s="8" t="s">
        <v>75</v>
      </c>
      <c r="N563" s="9">
        <v>0</v>
      </c>
      <c r="O563" s="8" t="s">
        <v>30</v>
      </c>
      <c r="P563" t="str">
        <f>TEXT(Table1[[#This Row],[Transaction_Date]],"mmm")</f>
        <v>Mar</v>
      </c>
      <c r="Q563" s="11">
        <v>45731</v>
      </c>
      <c r="R563" s="8" t="s">
        <v>1417</v>
      </c>
      <c r="S563" s="8" t="s">
        <v>54</v>
      </c>
      <c r="T563" s="9">
        <v>463.39</v>
      </c>
      <c r="U563" t="s">
        <v>33</v>
      </c>
      <c r="V563" s="8" t="s">
        <v>62</v>
      </c>
      <c r="W563"/>
      <c r="X563"/>
    </row>
    <row r="564" spans="1:24" x14ac:dyDescent="0.3">
      <c r="A564" t="s">
        <v>1418</v>
      </c>
      <c r="B564" t="s">
        <v>1166</v>
      </c>
      <c r="C564">
        <v>27</v>
      </c>
      <c r="D564" t="s">
        <v>24</v>
      </c>
      <c r="E564" t="s">
        <v>25</v>
      </c>
      <c r="F564" t="s">
        <v>24</v>
      </c>
      <c r="G564" t="s">
        <v>39</v>
      </c>
      <c r="H564" s="8" t="s">
        <v>40</v>
      </c>
      <c r="I564" s="9">
        <v>13022.95</v>
      </c>
      <c r="J564" s="9">
        <v>6764.27</v>
      </c>
      <c r="K564" s="8" t="s">
        <v>41</v>
      </c>
      <c r="L564" s="10">
        <v>61006.06</v>
      </c>
      <c r="M564" s="8" t="s">
        <v>29</v>
      </c>
      <c r="N564" s="9">
        <v>19043.77</v>
      </c>
      <c r="O564" s="8" t="s">
        <v>30</v>
      </c>
      <c r="P564" t="str">
        <f>TEXT(Table1[[#This Row],[Transaction_Date]],"mmm")</f>
        <v>Mar</v>
      </c>
      <c r="Q564" s="11">
        <v>45724</v>
      </c>
      <c r="R564" s="8" t="s">
        <v>1419</v>
      </c>
      <c r="S564" s="8" t="s">
        <v>32</v>
      </c>
      <c r="T564" s="9">
        <v>1064.3699999999999</v>
      </c>
      <c r="U564" t="s">
        <v>71</v>
      </c>
      <c r="V564" s="8" t="s">
        <v>46</v>
      </c>
      <c r="W564"/>
      <c r="X564"/>
    </row>
    <row r="565" spans="1:24" x14ac:dyDescent="0.3">
      <c r="A565" t="s">
        <v>1420</v>
      </c>
      <c r="B565" t="s">
        <v>1283</v>
      </c>
      <c r="C565">
        <v>45</v>
      </c>
      <c r="D565" t="s">
        <v>37</v>
      </c>
      <c r="E565" t="s">
        <v>38</v>
      </c>
      <c r="F565" t="s">
        <v>37</v>
      </c>
      <c r="G565" t="s">
        <v>39</v>
      </c>
      <c r="H565" s="8" t="s">
        <v>27</v>
      </c>
      <c r="I565" s="9">
        <v>31286.07</v>
      </c>
      <c r="J565" s="9">
        <v>14424.29</v>
      </c>
      <c r="K565" s="8" t="s">
        <v>68</v>
      </c>
      <c r="L565" s="10">
        <v>37030.1</v>
      </c>
      <c r="M565" s="8" t="s">
        <v>29</v>
      </c>
      <c r="N565" s="9">
        <v>7950.65</v>
      </c>
      <c r="O565" s="8" t="s">
        <v>30</v>
      </c>
      <c r="P565" t="str">
        <f>TEXT(Table1[[#This Row],[Transaction_Date]],"mmm")</f>
        <v>Dec</v>
      </c>
      <c r="Q565" s="11">
        <v>46005</v>
      </c>
      <c r="R565" s="8" t="s">
        <v>1421</v>
      </c>
      <c r="S565" s="8" t="s">
        <v>54</v>
      </c>
      <c r="T565" s="9">
        <v>7138.6</v>
      </c>
      <c r="U565" t="s">
        <v>61</v>
      </c>
      <c r="V565" s="8" t="s">
        <v>46</v>
      </c>
      <c r="W565"/>
      <c r="X565"/>
    </row>
    <row r="566" spans="1:24" x14ac:dyDescent="0.3">
      <c r="A566" t="s">
        <v>1422</v>
      </c>
      <c r="B566" t="s">
        <v>1423</v>
      </c>
      <c r="C566">
        <v>20</v>
      </c>
      <c r="D566" t="s">
        <v>65</v>
      </c>
      <c r="E566" t="s">
        <v>66</v>
      </c>
      <c r="F566" t="s">
        <v>65</v>
      </c>
      <c r="G566" t="s">
        <v>39</v>
      </c>
      <c r="H566" s="8" t="s">
        <v>40</v>
      </c>
      <c r="I566" s="9">
        <v>54748.45</v>
      </c>
      <c r="J566" s="9">
        <v>15626.85</v>
      </c>
      <c r="K566" s="8" t="s">
        <v>74</v>
      </c>
      <c r="L566" s="10">
        <v>0</v>
      </c>
      <c r="M566" s="8" t="s">
        <v>75</v>
      </c>
      <c r="N566" s="9">
        <v>0</v>
      </c>
      <c r="O566" s="8" t="s">
        <v>30</v>
      </c>
      <c r="P566" t="str">
        <f>TEXT(Table1[[#This Row],[Transaction_Date]],"mmm")</f>
        <v>Jul</v>
      </c>
      <c r="Q566" s="11">
        <v>45849</v>
      </c>
      <c r="R566" s="8" t="s">
        <v>1424</v>
      </c>
      <c r="S566" s="8" t="s">
        <v>32</v>
      </c>
      <c r="T566" s="9">
        <v>4344.53</v>
      </c>
      <c r="U566" t="s">
        <v>106</v>
      </c>
      <c r="V566" s="8" t="s">
        <v>62</v>
      </c>
      <c r="W566"/>
      <c r="X566"/>
    </row>
    <row r="567" spans="1:24" x14ac:dyDescent="0.3">
      <c r="A567" t="s">
        <v>1425</v>
      </c>
      <c r="B567" t="s">
        <v>1316</v>
      </c>
      <c r="C567">
        <v>29</v>
      </c>
      <c r="D567" t="s">
        <v>65</v>
      </c>
      <c r="E567" t="s">
        <v>66</v>
      </c>
      <c r="F567" t="s">
        <v>65</v>
      </c>
      <c r="G567" t="s">
        <v>39</v>
      </c>
      <c r="H567" s="8" t="s">
        <v>40</v>
      </c>
      <c r="I567" s="9">
        <v>12000</v>
      </c>
      <c r="J567" s="9">
        <v>16376.56</v>
      </c>
      <c r="K567" s="8" t="s">
        <v>52</v>
      </c>
      <c r="L567" s="10">
        <v>44043.5</v>
      </c>
      <c r="M567" s="8" t="s">
        <v>29</v>
      </c>
      <c r="N567" s="9">
        <v>38399.730000000003</v>
      </c>
      <c r="O567" s="8" t="s">
        <v>30</v>
      </c>
      <c r="P567" t="str">
        <f>TEXT(Table1[[#This Row],[Transaction_Date]],"mmm")</f>
        <v>Dec</v>
      </c>
      <c r="Q567" s="11">
        <v>46015</v>
      </c>
      <c r="R567" s="8" t="s">
        <v>1426</v>
      </c>
      <c r="S567" s="8" t="s">
        <v>70</v>
      </c>
      <c r="T567" s="9">
        <v>3754.3</v>
      </c>
      <c r="U567" t="s">
        <v>33</v>
      </c>
      <c r="V567" s="8" t="s">
        <v>62</v>
      </c>
      <c r="W567"/>
      <c r="X567"/>
    </row>
    <row r="568" spans="1:24" hidden="1" x14ac:dyDescent="0.3">
      <c r="A568" t="s">
        <v>1427</v>
      </c>
      <c r="B568" t="s">
        <v>1428</v>
      </c>
      <c r="C568">
        <v>25</v>
      </c>
      <c r="D568" t="s">
        <v>97</v>
      </c>
      <c r="E568" t="s">
        <v>98</v>
      </c>
      <c r="F568" t="s">
        <v>97</v>
      </c>
      <c r="G568" t="s">
        <v>80</v>
      </c>
      <c r="H568" s="8" t="s">
        <v>40</v>
      </c>
      <c r="I568" s="9">
        <v>58733.31</v>
      </c>
      <c r="J568" s="9">
        <v>24727.26</v>
      </c>
      <c r="K568" s="8" t="s">
        <v>68</v>
      </c>
      <c r="L568" s="10">
        <v>25297.5</v>
      </c>
      <c r="M568" s="8" t="s">
        <v>29</v>
      </c>
      <c r="N568" s="9">
        <v>10409.91</v>
      </c>
      <c r="O568" s="8" t="s">
        <v>30</v>
      </c>
      <c r="P568" t="str">
        <f>TEXT(Table1[[#This Row],[Transaction_Date]],"mmm")</f>
        <v>Oct</v>
      </c>
      <c r="Q568" s="11">
        <v>45953</v>
      </c>
      <c r="R568" s="8" t="s">
        <v>1429</v>
      </c>
      <c r="S568" s="8" t="s">
        <v>54</v>
      </c>
      <c r="T568" s="9">
        <v>11703.37</v>
      </c>
      <c r="U568" t="s">
        <v>106</v>
      </c>
      <c r="V568" s="8" t="s">
        <v>34</v>
      </c>
      <c r="W568"/>
      <c r="X568"/>
    </row>
    <row r="569" spans="1:24" x14ac:dyDescent="0.3">
      <c r="A569" t="s">
        <v>1430</v>
      </c>
      <c r="B569" t="s">
        <v>243</v>
      </c>
      <c r="C569">
        <v>57</v>
      </c>
      <c r="D569" t="s">
        <v>49</v>
      </c>
      <c r="E569" t="s">
        <v>50</v>
      </c>
      <c r="F569" t="s">
        <v>49</v>
      </c>
      <c r="G569" t="s">
        <v>39</v>
      </c>
      <c r="H569" s="8" t="s">
        <v>51</v>
      </c>
      <c r="I569" s="9">
        <v>13919.98</v>
      </c>
      <c r="J569" s="9">
        <v>54517.96</v>
      </c>
      <c r="K569" s="8" t="s">
        <v>41</v>
      </c>
      <c r="L569" s="10">
        <v>37096.300000000003</v>
      </c>
      <c r="M569" s="8" t="s">
        <v>42</v>
      </c>
      <c r="N569" s="9">
        <v>0</v>
      </c>
      <c r="O569" s="8" t="s">
        <v>30</v>
      </c>
      <c r="P569" t="str">
        <f>TEXT(Table1[[#This Row],[Transaction_Date]],"mmm")</f>
        <v>Aug</v>
      </c>
      <c r="Q569" s="11">
        <v>45873</v>
      </c>
      <c r="R569" s="8" t="s">
        <v>1431</v>
      </c>
      <c r="S569" s="8" t="s">
        <v>54</v>
      </c>
      <c r="T569" s="9">
        <v>3276.46</v>
      </c>
      <c r="U569" t="s">
        <v>45</v>
      </c>
      <c r="V569" s="8" t="s">
        <v>46</v>
      </c>
      <c r="W569"/>
      <c r="X569"/>
    </row>
    <row r="570" spans="1:24" x14ac:dyDescent="0.3">
      <c r="A570" t="s">
        <v>1432</v>
      </c>
      <c r="B570" t="s">
        <v>1433</v>
      </c>
      <c r="C570">
        <v>52</v>
      </c>
      <c r="D570" t="s">
        <v>97</v>
      </c>
      <c r="E570" t="s">
        <v>98</v>
      </c>
      <c r="F570" t="s">
        <v>97</v>
      </c>
      <c r="G570" t="s">
        <v>39</v>
      </c>
      <c r="H570" s="8" t="s">
        <v>51</v>
      </c>
      <c r="I570" s="9">
        <v>70200.36</v>
      </c>
      <c r="J570" s="9">
        <v>26839.96</v>
      </c>
      <c r="K570" s="8" t="s">
        <v>74</v>
      </c>
      <c r="L570" s="10">
        <v>0</v>
      </c>
      <c r="M570" s="8" t="s">
        <v>75</v>
      </c>
      <c r="N570" s="9">
        <v>0</v>
      </c>
      <c r="O570" s="8" t="s">
        <v>30</v>
      </c>
      <c r="P570" t="str">
        <f>TEXT(Table1[[#This Row],[Transaction_Date]],"mmm")</f>
        <v>Apr</v>
      </c>
      <c r="Q570" s="11">
        <v>45760</v>
      </c>
      <c r="R570" s="8" t="s">
        <v>1434</v>
      </c>
      <c r="S570" s="8" t="s">
        <v>44</v>
      </c>
      <c r="T570" s="9">
        <v>2731.51</v>
      </c>
      <c r="U570" t="s">
        <v>106</v>
      </c>
      <c r="V570" s="8" t="s">
        <v>46</v>
      </c>
      <c r="W570"/>
      <c r="X570"/>
    </row>
    <row r="571" spans="1:24" x14ac:dyDescent="0.3">
      <c r="A571" t="s">
        <v>1435</v>
      </c>
      <c r="B571" t="s">
        <v>823</v>
      </c>
      <c r="C571">
        <v>39</v>
      </c>
      <c r="D571" t="s">
        <v>84</v>
      </c>
      <c r="E571" t="s">
        <v>85</v>
      </c>
      <c r="F571" t="s">
        <v>84</v>
      </c>
      <c r="G571" t="s">
        <v>39</v>
      </c>
      <c r="H571" s="8" t="s">
        <v>27</v>
      </c>
      <c r="I571" s="9">
        <v>50694.55</v>
      </c>
      <c r="J571" s="9">
        <v>15142.54</v>
      </c>
      <c r="K571" s="8" t="s">
        <v>59</v>
      </c>
      <c r="L571" s="10">
        <v>50291.06</v>
      </c>
      <c r="M571" s="8" t="s">
        <v>29</v>
      </c>
      <c r="N571" s="9">
        <v>47483.89</v>
      </c>
      <c r="O571" s="8" t="s">
        <v>30</v>
      </c>
      <c r="P571" t="str">
        <f>TEXT(Table1[[#This Row],[Transaction_Date]],"mmm")</f>
        <v>Sep</v>
      </c>
      <c r="Q571" s="11">
        <v>45923</v>
      </c>
      <c r="R571" s="8" t="s">
        <v>1436</v>
      </c>
      <c r="S571" s="8" t="s">
        <v>32</v>
      </c>
      <c r="T571" s="9">
        <v>1291.58</v>
      </c>
      <c r="U571" t="s">
        <v>71</v>
      </c>
      <c r="V571" s="8" t="s">
        <v>34</v>
      </c>
      <c r="W571"/>
      <c r="X571"/>
    </row>
    <row r="572" spans="1:24" x14ac:dyDescent="0.3">
      <c r="A572" t="s">
        <v>1437</v>
      </c>
      <c r="B572" t="s">
        <v>1294</v>
      </c>
      <c r="C572">
        <v>37</v>
      </c>
      <c r="D572" t="s">
        <v>475</v>
      </c>
      <c r="E572" t="s">
        <v>38</v>
      </c>
      <c r="F572" t="s">
        <v>37</v>
      </c>
      <c r="G572" t="s">
        <v>39</v>
      </c>
      <c r="H572" s="8" t="s">
        <v>40</v>
      </c>
      <c r="I572" s="9">
        <v>34108.730000000003</v>
      </c>
      <c r="J572" s="9">
        <v>22292.86</v>
      </c>
      <c r="K572" s="8" t="s">
        <v>41</v>
      </c>
      <c r="L572" s="10">
        <v>96399.62</v>
      </c>
      <c r="M572" s="8" t="s">
        <v>42</v>
      </c>
      <c r="N572" s="9">
        <v>0</v>
      </c>
      <c r="O572" s="8" t="s">
        <v>30</v>
      </c>
      <c r="P572" t="str">
        <f>TEXT(Table1[[#This Row],[Transaction_Date]],"mmm")</f>
        <v>Feb</v>
      </c>
      <c r="Q572" s="11">
        <v>45703</v>
      </c>
      <c r="R572" s="8" t="s">
        <v>1438</v>
      </c>
      <c r="S572" s="8" t="s">
        <v>70</v>
      </c>
      <c r="T572" s="9">
        <v>1818.29</v>
      </c>
      <c r="U572" t="s">
        <v>71</v>
      </c>
      <c r="V572" s="8" t="s">
        <v>46</v>
      </c>
      <c r="W572"/>
      <c r="X572"/>
    </row>
    <row r="573" spans="1:24" x14ac:dyDescent="0.3">
      <c r="A573" t="s">
        <v>1439</v>
      </c>
      <c r="B573" t="s">
        <v>1423</v>
      </c>
      <c r="C573">
        <v>50</v>
      </c>
      <c r="D573" t="s">
        <v>92</v>
      </c>
      <c r="E573" t="s">
        <v>93</v>
      </c>
      <c r="F573" t="s">
        <v>92</v>
      </c>
      <c r="G573" t="s">
        <v>39</v>
      </c>
      <c r="H573" s="8" t="s">
        <v>27</v>
      </c>
      <c r="I573" s="9">
        <v>48908.43</v>
      </c>
      <c r="J573" s="9">
        <v>75148.539999999994</v>
      </c>
      <c r="K573" s="8" t="s">
        <v>59</v>
      </c>
      <c r="L573" s="10">
        <v>36178.11</v>
      </c>
      <c r="M573" s="8" t="s">
        <v>29</v>
      </c>
      <c r="N573" s="9">
        <v>13050.35</v>
      </c>
      <c r="O573" s="8" t="s">
        <v>30</v>
      </c>
      <c r="P573" t="str">
        <f>TEXT(Table1[[#This Row],[Transaction_Date]],"mmm")</f>
        <v>Dec</v>
      </c>
      <c r="Q573" s="11">
        <v>46019</v>
      </c>
      <c r="R573" s="8" t="s">
        <v>1440</v>
      </c>
      <c r="S573" s="8" t="s">
        <v>32</v>
      </c>
      <c r="T573" s="9">
        <v>2294.79</v>
      </c>
      <c r="U573" t="s">
        <v>106</v>
      </c>
      <c r="V573" s="8" t="s">
        <v>34</v>
      </c>
      <c r="W573"/>
      <c r="X573"/>
    </row>
    <row r="574" spans="1:24" x14ac:dyDescent="0.3">
      <c r="A574" t="s">
        <v>1441</v>
      </c>
      <c r="B574" t="s">
        <v>262</v>
      </c>
      <c r="C574">
        <v>48</v>
      </c>
      <c r="D574" t="s">
        <v>97</v>
      </c>
      <c r="E574" t="s">
        <v>98</v>
      </c>
      <c r="F574" t="s">
        <v>97</v>
      </c>
      <c r="G574" t="s">
        <v>39</v>
      </c>
      <c r="H574" s="8" t="s">
        <v>27</v>
      </c>
      <c r="I574" s="9">
        <v>46697.55</v>
      </c>
      <c r="J574" s="9">
        <v>9511.18</v>
      </c>
      <c r="K574" s="8" t="s">
        <v>68</v>
      </c>
      <c r="L574" s="10">
        <v>42237.69</v>
      </c>
      <c r="M574" s="8" t="s">
        <v>29</v>
      </c>
      <c r="N574" s="9">
        <v>24376.74</v>
      </c>
      <c r="O574" s="8" t="s">
        <v>30</v>
      </c>
      <c r="P574" t="str">
        <f>TEXT(Table1[[#This Row],[Transaction_Date]],"mmm")</f>
        <v>Jun</v>
      </c>
      <c r="Q574" s="11">
        <v>45818</v>
      </c>
      <c r="R574" s="8" t="s">
        <v>1442</v>
      </c>
      <c r="S574" s="8" t="s">
        <v>54</v>
      </c>
      <c r="T574" s="9">
        <v>9326.14</v>
      </c>
      <c r="U574" t="s">
        <v>33</v>
      </c>
      <c r="V574" s="8" t="s">
        <v>46</v>
      </c>
      <c r="W574"/>
      <c r="X574"/>
    </row>
    <row r="575" spans="1:24" hidden="1" x14ac:dyDescent="0.3">
      <c r="A575" t="s">
        <v>1443</v>
      </c>
      <c r="B575" t="s">
        <v>262</v>
      </c>
      <c r="C575">
        <v>44</v>
      </c>
      <c r="D575" t="s">
        <v>49</v>
      </c>
      <c r="E575" t="s">
        <v>50</v>
      </c>
      <c r="F575" t="s">
        <v>49</v>
      </c>
      <c r="G575" t="s">
        <v>80</v>
      </c>
      <c r="H575" s="8" t="s">
        <v>27</v>
      </c>
      <c r="I575" s="9">
        <v>64632.12</v>
      </c>
      <c r="J575" s="9">
        <v>4192.91</v>
      </c>
      <c r="K575" s="8" t="s">
        <v>52</v>
      </c>
      <c r="L575" s="10">
        <v>76432.2</v>
      </c>
      <c r="M575" s="8" t="s">
        <v>29</v>
      </c>
      <c r="N575" s="9">
        <v>20090.439999999999</v>
      </c>
      <c r="O575" s="8" t="s">
        <v>30</v>
      </c>
      <c r="P575" t="str">
        <f>TEXT(Table1[[#This Row],[Transaction_Date]],"mmm")</f>
        <v>Aug</v>
      </c>
      <c r="Q575" s="11">
        <v>45874</v>
      </c>
      <c r="R575" s="8" t="s">
        <v>1444</v>
      </c>
      <c r="S575" s="8" t="s">
        <v>32</v>
      </c>
      <c r="T575" s="9">
        <v>9283.41</v>
      </c>
      <c r="U575" t="s">
        <v>45</v>
      </c>
      <c r="V575" s="8" t="s">
        <v>46</v>
      </c>
      <c r="W575"/>
      <c r="X575"/>
    </row>
    <row r="576" spans="1:24" hidden="1" x14ac:dyDescent="0.3">
      <c r="A576" t="s">
        <v>1445</v>
      </c>
      <c r="B576" t="s">
        <v>1113</v>
      </c>
      <c r="C576">
        <v>45</v>
      </c>
      <c r="D576" t="s">
        <v>37</v>
      </c>
      <c r="E576" t="s">
        <v>38</v>
      </c>
      <c r="F576" t="s">
        <v>37</v>
      </c>
      <c r="G576" t="s">
        <v>26</v>
      </c>
      <c r="H576" s="8" t="s">
        <v>51</v>
      </c>
      <c r="I576" s="9">
        <v>62095.1</v>
      </c>
      <c r="J576" s="9">
        <v>9647.43</v>
      </c>
      <c r="K576" s="8" t="s">
        <v>41</v>
      </c>
      <c r="L576" s="10">
        <v>25000</v>
      </c>
      <c r="M576" s="8" t="s">
        <v>29</v>
      </c>
      <c r="N576" s="9">
        <v>17517.53</v>
      </c>
      <c r="O576" s="8" t="s">
        <v>30</v>
      </c>
      <c r="P576" t="str">
        <f>TEXT(Table1[[#This Row],[Transaction_Date]],"mmm")</f>
        <v>Sep</v>
      </c>
      <c r="Q576" s="11">
        <v>45911</v>
      </c>
      <c r="R576" s="8" t="s">
        <v>1446</v>
      </c>
      <c r="S576" s="8" t="s">
        <v>32</v>
      </c>
      <c r="T576" s="9">
        <v>1225.92</v>
      </c>
      <c r="U576" t="s">
        <v>77</v>
      </c>
      <c r="V576" s="8" t="s">
        <v>62</v>
      </c>
      <c r="W576"/>
      <c r="X576"/>
    </row>
    <row r="577" spans="1:24" x14ac:dyDescent="0.3">
      <c r="A577" t="s">
        <v>1447</v>
      </c>
      <c r="B577" t="s">
        <v>921</v>
      </c>
      <c r="C577">
        <v>33</v>
      </c>
      <c r="D577" t="s">
        <v>37</v>
      </c>
      <c r="E577" t="s">
        <v>38</v>
      </c>
      <c r="F577" t="s">
        <v>37</v>
      </c>
      <c r="G577" t="s">
        <v>39</v>
      </c>
      <c r="H577" s="8" t="s">
        <v>27</v>
      </c>
      <c r="I577" s="9">
        <v>19145.87</v>
      </c>
      <c r="J577" s="9">
        <v>13777.49</v>
      </c>
      <c r="K577" s="8" t="s">
        <v>74</v>
      </c>
      <c r="L577" s="10">
        <v>0</v>
      </c>
      <c r="M577" s="8" t="s">
        <v>75</v>
      </c>
      <c r="N577" s="9">
        <v>0</v>
      </c>
      <c r="O577" s="8" t="s">
        <v>30</v>
      </c>
      <c r="P577" t="str">
        <f>TEXT(Table1[[#This Row],[Transaction_Date]],"mmm")</f>
        <v>Dec</v>
      </c>
      <c r="Q577" s="11">
        <v>46006</v>
      </c>
      <c r="R577" s="8" t="s">
        <v>1448</v>
      </c>
      <c r="S577" s="8" t="s">
        <v>54</v>
      </c>
      <c r="T577" s="9">
        <v>7279.23</v>
      </c>
      <c r="U577" t="s">
        <v>106</v>
      </c>
      <c r="V577" s="8" t="s">
        <v>46</v>
      </c>
      <c r="W577"/>
      <c r="X577"/>
    </row>
    <row r="578" spans="1:24" hidden="1" x14ac:dyDescent="0.3">
      <c r="A578" t="s">
        <v>1449</v>
      </c>
      <c r="B578" t="s">
        <v>1233</v>
      </c>
      <c r="C578">
        <v>20</v>
      </c>
      <c r="D578" t="s">
        <v>24</v>
      </c>
      <c r="E578" t="s">
        <v>25</v>
      </c>
      <c r="F578" t="s">
        <v>24</v>
      </c>
      <c r="G578" t="s">
        <v>80</v>
      </c>
      <c r="H578" s="8" t="s">
        <v>40</v>
      </c>
      <c r="I578" s="9">
        <v>49051.93</v>
      </c>
      <c r="J578" s="9">
        <v>31208.16</v>
      </c>
      <c r="K578" s="8" t="s">
        <v>52</v>
      </c>
      <c r="L578" s="10">
        <v>58656.97</v>
      </c>
      <c r="M578" s="8" t="s">
        <v>29</v>
      </c>
      <c r="N578" s="9">
        <v>40833.65</v>
      </c>
      <c r="O578" s="8" t="s">
        <v>30</v>
      </c>
      <c r="P578" t="str">
        <f>TEXT(Table1[[#This Row],[Transaction_Date]],"mmm")</f>
        <v>Sep</v>
      </c>
      <c r="Q578" s="11">
        <v>45904</v>
      </c>
      <c r="R578" s="8" t="s">
        <v>1450</v>
      </c>
      <c r="S578" s="8" t="s">
        <v>54</v>
      </c>
      <c r="T578" s="9">
        <v>17843.349999999999</v>
      </c>
      <c r="U578" t="s">
        <v>106</v>
      </c>
      <c r="V578" s="8" t="s">
        <v>34</v>
      </c>
      <c r="W578"/>
      <c r="X578"/>
    </row>
    <row r="579" spans="1:24" x14ac:dyDescent="0.3">
      <c r="A579" t="s">
        <v>1451</v>
      </c>
      <c r="B579" t="s">
        <v>162</v>
      </c>
      <c r="C579">
        <v>18</v>
      </c>
      <c r="D579" t="s">
        <v>49</v>
      </c>
      <c r="E579" t="s">
        <v>50</v>
      </c>
      <c r="F579" t="s">
        <v>49</v>
      </c>
      <c r="G579" t="s">
        <v>39</v>
      </c>
      <c r="H579" s="8" t="s">
        <v>40</v>
      </c>
      <c r="I579" s="9">
        <v>84524.5</v>
      </c>
      <c r="J579" s="9">
        <v>49032.18</v>
      </c>
      <c r="K579" s="8" t="s">
        <v>68</v>
      </c>
      <c r="L579" s="10">
        <v>144692.75</v>
      </c>
      <c r="M579" s="8" t="s">
        <v>29</v>
      </c>
      <c r="N579" s="9">
        <v>98113.84</v>
      </c>
      <c r="O579" s="8" t="s">
        <v>30</v>
      </c>
      <c r="P579" t="str">
        <f>TEXT(Table1[[#This Row],[Transaction_Date]],"mmm")</f>
        <v>Sep</v>
      </c>
      <c r="Q579" s="11">
        <v>45913</v>
      </c>
      <c r="R579" s="8" t="s">
        <v>1452</v>
      </c>
      <c r="S579" s="8" t="s">
        <v>44</v>
      </c>
      <c r="T579" s="9">
        <v>1240.07</v>
      </c>
      <c r="U579" t="s">
        <v>71</v>
      </c>
      <c r="V579" s="8" t="s">
        <v>62</v>
      </c>
      <c r="W579"/>
      <c r="X579"/>
    </row>
    <row r="580" spans="1:24" hidden="1" x14ac:dyDescent="0.3">
      <c r="A580" t="s">
        <v>1453</v>
      </c>
      <c r="B580" t="s">
        <v>472</v>
      </c>
      <c r="C580">
        <v>18</v>
      </c>
      <c r="D580" t="s">
        <v>49</v>
      </c>
      <c r="E580" t="s">
        <v>50</v>
      </c>
      <c r="F580" t="s">
        <v>49</v>
      </c>
      <c r="G580" t="s">
        <v>80</v>
      </c>
      <c r="H580" s="8" t="s">
        <v>51</v>
      </c>
      <c r="I580" s="9">
        <v>58037.72</v>
      </c>
      <c r="J580" s="9">
        <v>50461.45</v>
      </c>
      <c r="K580" s="8" t="s">
        <v>28</v>
      </c>
      <c r="L580" s="10">
        <v>25000</v>
      </c>
      <c r="M580" s="8" t="s">
        <v>29</v>
      </c>
      <c r="N580" s="9">
        <v>23332.12</v>
      </c>
      <c r="O580" s="8" t="s">
        <v>30</v>
      </c>
      <c r="P580" t="str">
        <f>TEXT(Table1[[#This Row],[Transaction_Date]],"mmm")</f>
        <v>Feb</v>
      </c>
      <c r="Q580" s="11">
        <v>45715</v>
      </c>
      <c r="R580" s="8" t="s">
        <v>1454</v>
      </c>
      <c r="S580" s="8" t="s">
        <v>54</v>
      </c>
      <c r="T580" s="9">
        <v>9587.89</v>
      </c>
      <c r="U580" t="s">
        <v>77</v>
      </c>
      <c r="V580" s="8" t="s">
        <v>62</v>
      </c>
      <c r="W580"/>
      <c r="X580"/>
    </row>
    <row r="581" spans="1:24" hidden="1" x14ac:dyDescent="0.3">
      <c r="A581" t="s">
        <v>1455</v>
      </c>
      <c r="B581" t="s">
        <v>472</v>
      </c>
      <c r="C581">
        <v>43</v>
      </c>
      <c r="D581" t="s">
        <v>24</v>
      </c>
      <c r="E581" t="s">
        <v>25</v>
      </c>
      <c r="F581" t="s">
        <v>24</v>
      </c>
      <c r="G581" t="s">
        <v>26</v>
      </c>
      <c r="H581" s="8" t="s">
        <v>51</v>
      </c>
      <c r="I581" s="9">
        <v>72068.03</v>
      </c>
      <c r="J581" s="9">
        <v>22912.43</v>
      </c>
      <c r="K581" s="8" t="s">
        <v>74</v>
      </c>
      <c r="L581" s="10">
        <v>0</v>
      </c>
      <c r="M581" s="8" t="s">
        <v>75</v>
      </c>
      <c r="N581" s="9">
        <v>0</v>
      </c>
      <c r="O581" s="8" t="s">
        <v>30</v>
      </c>
      <c r="P581" t="str">
        <f>TEXT(Table1[[#This Row],[Transaction_Date]],"mmm")</f>
        <v>Mar</v>
      </c>
      <c r="Q581" s="11">
        <v>45740</v>
      </c>
      <c r="R581" s="8" t="s">
        <v>1456</v>
      </c>
      <c r="S581" s="8" t="s">
        <v>54</v>
      </c>
      <c r="T581" s="9">
        <v>3349.12</v>
      </c>
      <c r="U581" t="s">
        <v>106</v>
      </c>
      <c r="V581" s="8" t="s">
        <v>34</v>
      </c>
      <c r="W581"/>
      <c r="X581"/>
    </row>
    <row r="582" spans="1:24" hidden="1" x14ac:dyDescent="0.3">
      <c r="A582" t="s">
        <v>1457</v>
      </c>
      <c r="B582" t="s">
        <v>812</v>
      </c>
      <c r="C582">
        <v>36</v>
      </c>
      <c r="D582" t="s">
        <v>37</v>
      </c>
      <c r="E582" t="s">
        <v>38</v>
      </c>
      <c r="F582" t="s">
        <v>37</v>
      </c>
      <c r="G582" t="s">
        <v>80</v>
      </c>
      <c r="H582" s="8" t="s">
        <v>40</v>
      </c>
      <c r="I582" s="9">
        <v>51714.05</v>
      </c>
      <c r="J582" s="9">
        <v>5177.25</v>
      </c>
      <c r="K582" s="8" t="s">
        <v>74</v>
      </c>
      <c r="L582" s="10">
        <v>0</v>
      </c>
      <c r="M582" s="8" t="s">
        <v>75</v>
      </c>
      <c r="N582" s="9">
        <v>0</v>
      </c>
      <c r="O582" s="8" t="s">
        <v>30</v>
      </c>
      <c r="P582" t="str">
        <f>TEXT(Table1[[#This Row],[Transaction_Date]],"mmm")</f>
        <v>Feb</v>
      </c>
      <c r="Q582" s="11">
        <v>45699</v>
      </c>
      <c r="R582" s="8" t="s">
        <v>1458</v>
      </c>
      <c r="S582" s="8" t="s">
        <v>32</v>
      </c>
      <c r="T582" s="9">
        <v>8389.6</v>
      </c>
      <c r="U582" t="s">
        <v>33</v>
      </c>
      <c r="V582" s="8" t="s">
        <v>62</v>
      </c>
      <c r="W582"/>
      <c r="X582"/>
    </row>
    <row r="583" spans="1:24" x14ac:dyDescent="0.3">
      <c r="A583" t="s">
        <v>1459</v>
      </c>
      <c r="B583" t="s">
        <v>246</v>
      </c>
      <c r="C583">
        <v>38</v>
      </c>
      <c r="D583" t="s">
        <v>84</v>
      </c>
      <c r="E583" t="s">
        <v>85</v>
      </c>
      <c r="F583" t="s">
        <v>84</v>
      </c>
      <c r="G583" t="s">
        <v>39</v>
      </c>
      <c r="H583" s="8" t="s">
        <v>27</v>
      </c>
      <c r="I583" s="9">
        <v>65104.55</v>
      </c>
      <c r="J583" s="9">
        <v>3522.02</v>
      </c>
      <c r="K583" s="8" t="s">
        <v>59</v>
      </c>
      <c r="L583" s="10">
        <v>215778.33</v>
      </c>
      <c r="M583" s="8" t="s">
        <v>29</v>
      </c>
      <c r="N583" s="9">
        <v>202504.35</v>
      </c>
      <c r="O583" s="8" t="s">
        <v>30</v>
      </c>
      <c r="P583" t="str">
        <f>TEXT(Table1[[#This Row],[Transaction_Date]],"mmm")</f>
        <v>May</v>
      </c>
      <c r="Q583" s="11">
        <v>45806</v>
      </c>
      <c r="R583" s="8" t="s">
        <v>1460</v>
      </c>
      <c r="S583" s="8" t="s">
        <v>32</v>
      </c>
      <c r="T583" s="9">
        <v>4002.18</v>
      </c>
      <c r="U583" t="s">
        <v>77</v>
      </c>
      <c r="V583" s="8" t="s">
        <v>62</v>
      </c>
      <c r="W583"/>
      <c r="X583"/>
    </row>
    <row r="584" spans="1:24" hidden="1" x14ac:dyDescent="0.3">
      <c r="A584" t="s">
        <v>1461</v>
      </c>
      <c r="B584" t="s">
        <v>500</v>
      </c>
      <c r="C584">
        <v>75</v>
      </c>
      <c r="D584" t="s">
        <v>97</v>
      </c>
      <c r="E584" t="s">
        <v>98</v>
      </c>
      <c r="F584" t="s">
        <v>97</v>
      </c>
      <c r="G584" t="s">
        <v>51</v>
      </c>
      <c r="H584" s="8" t="s">
        <v>40</v>
      </c>
      <c r="I584" s="9">
        <v>42631.47</v>
      </c>
      <c r="J584" s="9">
        <v>5740.65</v>
      </c>
      <c r="K584" s="8" t="s">
        <v>74</v>
      </c>
      <c r="L584" s="10">
        <v>0</v>
      </c>
      <c r="M584" s="8" t="s">
        <v>75</v>
      </c>
      <c r="N584" s="9">
        <v>0</v>
      </c>
      <c r="O584" s="8" t="s">
        <v>30</v>
      </c>
      <c r="P584" t="str">
        <f>TEXT(Table1[[#This Row],[Transaction_Date]],"mmm")</f>
        <v>Jun</v>
      </c>
      <c r="Q584" s="11">
        <v>45825</v>
      </c>
      <c r="R584" s="8" t="s">
        <v>1462</v>
      </c>
      <c r="S584" s="8" t="s">
        <v>70</v>
      </c>
      <c r="T584" s="9">
        <v>3158.01</v>
      </c>
      <c r="U584" t="s">
        <v>33</v>
      </c>
      <c r="V584" s="8" t="s">
        <v>34</v>
      </c>
      <c r="W584"/>
      <c r="X584"/>
    </row>
    <row r="585" spans="1:24" hidden="1" x14ac:dyDescent="0.3">
      <c r="A585" t="s">
        <v>1463</v>
      </c>
      <c r="B585" t="s">
        <v>418</v>
      </c>
      <c r="C585">
        <v>25</v>
      </c>
      <c r="D585" t="s">
        <v>97</v>
      </c>
      <c r="E585" t="s">
        <v>98</v>
      </c>
      <c r="F585" t="s">
        <v>97</v>
      </c>
      <c r="G585" t="s">
        <v>51</v>
      </c>
      <c r="H585" s="8" t="s">
        <v>51</v>
      </c>
      <c r="I585" s="9">
        <v>57227.01</v>
      </c>
      <c r="J585" s="9">
        <v>56286.400000000001</v>
      </c>
      <c r="K585" s="8" t="s">
        <v>74</v>
      </c>
      <c r="L585" s="10">
        <v>0</v>
      </c>
      <c r="M585" s="8" t="s">
        <v>75</v>
      </c>
      <c r="N585" s="9">
        <v>0</v>
      </c>
      <c r="O585" s="8" t="s">
        <v>30</v>
      </c>
      <c r="P585" t="str">
        <f>TEXT(Table1[[#This Row],[Transaction_Date]],"mmm")</f>
        <v>Nov</v>
      </c>
      <c r="Q585" s="11">
        <v>45983</v>
      </c>
      <c r="R585" s="8" t="s">
        <v>1464</v>
      </c>
      <c r="S585" s="8" t="s">
        <v>54</v>
      </c>
      <c r="T585" s="9">
        <v>349.97</v>
      </c>
      <c r="U585" t="s">
        <v>45</v>
      </c>
      <c r="V585" s="8" t="s">
        <v>62</v>
      </c>
      <c r="W585"/>
      <c r="X585"/>
    </row>
    <row r="586" spans="1:24" x14ac:dyDescent="0.3">
      <c r="A586" t="s">
        <v>1465</v>
      </c>
      <c r="B586" t="s">
        <v>1466</v>
      </c>
      <c r="C586">
        <v>32</v>
      </c>
      <c r="D586" t="s">
        <v>37</v>
      </c>
      <c r="E586" t="s">
        <v>38</v>
      </c>
      <c r="F586" t="s">
        <v>37</v>
      </c>
      <c r="G586" t="s">
        <v>39</v>
      </c>
      <c r="H586" s="8" t="s">
        <v>40</v>
      </c>
      <c r="I586" s="9">
        <v>73216.23</v>
      </c>
      <c r="J586" s="9">
        <v>41396.93</v>
      </c>
      <c r="K586" s="8" t="s">
        <v>28</v>
      </c>
      <c r="L586" s="10">
        <v>101331.63</v>
      </c>
      <c r="M586" s="8" t="s">
        <v>29</v>
      </c>
      <c r="N586" s="9">
        <v>75183.89</v>
      </c>
      <c r="O586" s="8" t="s">
        <v>30</v>
      </c>
      <c r="P586" t="str">
        <f>TEXT(Table1[[#This Row],[Transaction_Date]],"mmm")</f>
        <v>Dec</v>
      </c>
      <c r="Q586" s="11">
        <v>46000</v>
      </c>
      <c r="R586" s="8" t="s">
        <v>1467</v>
      </c>
      <c r="S586" s="8" t="s">
        <v>70</v>
      </c>
      <c r="T586" s="9">
        <v>5756.17</v>
      </c>
      <c r="U586" t="s">
        <v>61</v>
      </c>
      <c r="V586" s="8" t="s">
        <v>46</v>
      </c>
      <c r="W586"/>
      <c r="X586"/>
    </row>
    <row r="587" spans="1:24" hidden="1" x14ac:dyDescent="0.3">
      <c r="A587" t="s">
        <v>1468</v>
      </c>
      <c r="B587" t="s">
        <v>597</v>
      </c>
      <c r="C587">
        <v>47</v>
      </c>
      <c r="D587" t="s">
        <v>49</v>
      </c>
      <c r="E587" t="s">
        <v>50</v>
      </c>
      <c r="F587" t="s">
        <v>49</v>
      </c>
      <c r="G587" t="s">
        <v>80</v>
      </c>
      <c r="H587" s="8" t="s">
        <v>51</v>
      </c>
      <c r="I587" s="9">
        <v>98754.04</v>
      </c>
      <c r="J587" s="9">
        <v>9406.65</v>
      </c>
      <c r="K587" s="8" t="s">
        <v>68</v>
      </c>
      <c r="L587" s="10">
        <v>58890.51</v>
      </c>
      <c r="M587" s="8" t="s">
        <v>29</v>
      </c>
      <c r="N587" s="9">
        <v>34445.94</v>
      </c>
      <c r="O587" s="8" t="s">
        <v>30</v>
      </c>
      <c r="P587" t="str">
        <f>TEXT(Table1[[#This Row],[Transaction_Date]],"mmm")</f>
        <v>Jul</v>
      </c>
      <c r="Q587" s="11">
        <v>45845</v>
      </c>
      <c r="R587" s="8" t="s">
        <v>1469</v>
      </c>
      <c r="S587" s="8" t="s">
        <v>32</v>
      </c>
      <c r="T587" s="9">
        <v>955.1</v>
      </c>
      <c r="U587" t="s">
        <v>106</v>
      </c>
      <c r="V587" s="8" t="s">
        <v>62</v>
      </c>
      <c r="W587"/>
      <c r="X587"/>
    </row>
    <row r="588" spans="1:24" hidden="1" x14ac:dyDescent="0.3">
      <c r="A588" t="s">
        <v>1470</v>
      </c>
      <c r="B588" t="s">
        <v>879</v>
      </c>
      <c r="C588">
        <v>31</v>
      </c>
      <c r="D588" t="s">
        <v>57</v>
      </c>
      <c r="E588" t="s">
        <v>58</v>
      </c>
      <c r="F588" t="s">
        <v>57</v>
      </c>
      <c r="G588" t="s">
        <v>80</v>
      </c>
      <c r="H588" s="8" t="s">
        <v>67</v>
      </c>
      <c r="I588" s="9">
        <v>26434.76</v>
      </c>
      <c r="J588" s="9">
        <v>10120.76</v>
      </c>
      <c r="K588" s="8" t="s">
        <v>68</v>
      </c>
      <c r="L588" s="10">
        <v>64482.21</v>
      </c>
      <c r="M588" s="8" t="s">
        <v>29</v>
      </c>
      <c r="N588" s="9">
        <v>39013.15</v>
      </c>
      <c r="O588" s="8" t="s">
        <v>30</v>
      </c>
      <c r="P588" t="str">
        <f>TEXT(Table1[[#This Row],[Transaction_Date]],"mmm")</f>
        <v>Nov</v>
      </c>
      <c r="Q588" s="11">
        <v>45978</v>
      </c>
      <c r="R588" s="8" t="s">
        <v>1471</v>
      </c>
      <c r="S588" s="8" t="s">
        <v>70</v>
      </c>
      <c r="T588" s="9">
        <v>388.95</v>
      </c>
      <c r="U588" t="s">
        <v>71</v>
      </c>
      <c r="V588" s="8" t="s">
        <v>62</v>
      </c>
      <c r="W588"/>
      <c r="X588"/>
    </row>
    <row r="589" spans="1:24" x14ac:dyDescent="0.3">
      <c r="A589" t="s">
        <v>1472</v>
      </c>
      <c r="B589" t="s">
        <v>322</v>
      </c>
      <c r="C589">
        <v>53</v>
      </c>
      <c r="D589" t="s">
        <v>24</v>
      </c>
      <c r="E589" t="s">
        <v>25</v>
      </c>
      <c r="F589" t="s">
        <v>24</v>
      </c>
      <c r="G589" t="s">
        <v>39</v>
      </c>
      <c r="H589" s="8" t="s">
        <v>40</v>
      </c>
      <c r="I589" s="9">
        <v>52704.11</v>
      </c>
      <c r="J589" s="9">
        <v>34895.9</v>
      </c>
      <c r="K589" s="8" t="s">
        <v>74</v>
      </c>
      <c r="L589" s="10">
        <v>0</v>
      </c>
      <c r="M589" s="8" t="s">
        <v>75</v>
      </c>
      <c r="N589" s="9">
        <v>0</v>
      </c>
      <c r="O589" s="8" t="s">
        <v>30</v>
      </c>
      <c r="P589" t="str">
        <f>TEXT(Table1[[#This Row],[Transaction_Date]],"mmm")</f>
        <v>May</v>
      </c>
      <c r="Q589" s="11">
        <v>45795</v>
      </c>
      <c r="R589" s="8" t="s">
        <v>1473</v>
      </c>
      <c r="S589" s="8" t="s">
        <v>70</v>
      </c>
      <c r="T589" s="9">
        <v>4394.6899999999996</v>
      </c>
      <c r="U589" t="s">
        <v>71</v>
      </c>
      <c r="V589" s="8" t="s">
        <v>46</v>
      </c>
      <c r="W589"/>
      <c r="X589"/>
    </row>
    <row r="590" spans="1:24" hidden="1" x14ac:dyDescent="0.3">
      <c r="A590" t="s">
        <v>1474</v>
      </c>
      <c r="B590" t="s">
        <v>962</v>
      </c>
      <c r="C590">
        <v>40</v>
      </c>
      <c r="D590" t="s">
        <v>92</v>
      </c>
      <c r="E590" t="s">
        <v>93</v>
      </c>
      <c r="F590" t="s">
        <v>92</v>
      </c>
      <c r="G590" t="s">
        <v>80</v>
      </c>
      <c r="H590" s="8" t="s">
        <v>27</v>
      </c>
      <c r="I590" s="9">
        <v>69132.039999999994</v>
      </c>
      <c r="J590" s="9">
        <v>118665.06</v>
      </c>
      <c r="K590" s="8" t="s">
        <v>74</v>
      </c>
      <c r="L590" s="10">
        <v>0</v>
      </c>
      <c r="M590" s="8" t="s">
        <v>75</v>
      </c>
      <c r="N590" s="9">
        <v>0</v>
      </c>
      <c r="O590" s="8" t="s">
        <v>30</v>
      </c>
      <c r="P590" t="str">
        <f>TEXT(Table1[[#This Row],[Transaction_Date]],"mmm")</f>
        <v>Aug</v>
      </c>
      <c r="Q590" s="11">
        <v>45899</v>
      </c>
      <c r="R590" s="8" t="s">
        <v>1475</v>
      </c>
      <c r="S590" s="8" t="s">
        <v>32</v>
      </c>
      <c r="T590" s="9">
        <v>3601.93</v>
      </c>
      <c r="U590" t="s">
        <v>33</v>
      </c>
      <c r="V590" s="8" t="s">
        <v>46</v>
      </c>
      <c r="W590"/>
      <c r="X590"/>
    </row>
    <row r="591" spans="1:24" x14ac:dyDescent="0.3">
      <c r="A591" t="s">
        <v>1476</v>
      </c>
      <c r="B591" t="s">
        <v>737</v>
      </c>
      <c r="C591">
        <v>35</v>
      </c>
      <c r="D591" t="s">
        <v>57</v>
      </c>
      <c r="E591" t="s">
        <v>58</v>
      </c>
      <c r="F591" t="s">
        <v>57</v>
      </c>
      <c r="G591" t="s">
        <v>39</v>
      </c>
      <c r="H591" s="8" t="s">
        <v>40</v>
      </c>
      <c r="I591" s="9">
        <v>16737.490000000002</v>
      </c>
      <c r="J591" s="9">
        <v>9980.36</v>
      </c>
      <c r="K591" s="8" t="s">
        <v>28</v>
      </c>
      <c r="L591" s="10">
        <v>137315</v>
      </c>
      <c r="M591" s="8" t="s">
        <v>29</v>
      </c>
      <c r="N591" s="9">
        <v>78663.009999999995</v>
      </c>
      <c r="O591" s="8" t="s">
        <v>30</v>
      </c>
      <c r="P591" t="str">
        <f>TEXT(Table1[[#This Row],[Transaction_Date]],"mmm")</f>
        <v>Dec</v>
      </c>
      <c r="Q591" s="11">
        <v>46010</v>
      </c>
      <c r="R591" s="8" t="s">
        <v>1477</v>
      </c>
      <c r="S591" s="8" t="s">
        <v>70</v>
      </c>
      <c r="T591" s="9">
        <v>306.55</v>
      </c>
      <c r="U591" t="s">
        <v>61</v>
      </c>
      <c r="V591" s="8" t="s">
        <v>62</v>
      </c>
      <c r="W591"/>
      <c r="X591"/>
    </row>
    <row r="592" spans="1:24" hidden="1" x14ac:dyDescent="0.3">
      <c r="A592" t="s">
        <v>1478</v>
      </c>
      <c r="B592" t="s">
        <v>1433</v>
      </c>
      <c r="C592">
        <v>30</v>
      </c>
      <c r="D592" t="s">
        <v>57</v>
      </c>
      <c r="E592" t="s">
        <v>58</v>
      </c>
      <c r="F592" t="s">
        <v>57</v>
      </c>
      <c r="G592" t="s">
        <v>26</v>
      </c>
      <c r="H592" s="8" t="s">
        <v>40</v>
      </c>
      <c r="I592" s="9">
        <v>41180.71</v>
      </c>
      <c r="J592" s="9">
        <v>10555.29</v>
      </c>
      <c r="K592" s="8" t="s">
        <v>41</v>
      </c>
      <c r="L592" s="10">
        <v>157123.37</v>
      </c>
      <c r="M592" s="8" t="s">
        <v>42</v>
      </c>
      <c r="N592" s="9">
        <v>0</v>
      </c>
      <c r="O592" s="8" t="s">
        <v>30</v>
      </c>
      <c r="P592" t="str">
        <f>TEXT(Table1[[#This Row],[Transaction_Date]],"mmm")</f>
        <v>Apr</v>
      </c>
      <c r="Q592" s="11">
        <v>45750</v>
      </c>
      <c r="R592" s="8" t="s">
        <v>1479</v>
      </c>
      <c r="S592" s="8" t="s">
        <v>54</v>
      </c>
      <c r="T592" s="9">
        <v>507.74</v>
      </c>
      <c r="U592" t="s">
        <v>71</v>
      </c>
      <c r="V592" s="8" t="s">
        <v>34</v>
      </c>
      <c r="W592"/>
      <c r="X592"/>
    </row>
    <row r="593" spans="1:24" x14ac:dyDescent="0.3">
      <c r="A593" t="s">
        <v>1480</v>
      </c>
      <c r="B593" t="s">
        <v>227</v>
      </c>
      <c r="C593">
        <v>43</v>
      </c>
      <c r="D593" t="s">
        <v>37</v>
      </c>
      <c r="E593" t="s">
        <v>38</v>
      </c>
      <c r="F593" t="s">
        <v>37</v>
      </c>
      <c r="G593" t="s">
        <v>39</v>
      </c>
      <c r="H593" s="8" t="s">
        <v>27</v>
      </c>
      <c r="I593" s="9">
        <v>104097.14</v>
      </c>
      <c r="J593" s="9">
        <v>54782.42</v>
      </c>
      <c r="K593" s="8" t="s">
        <v>41</v>
      </c>
      <c r="L593" s="10">
        <v>99356.82</v>
      </c>
      <c r="M593" s="8" t="s">
        <v>29</v>
      </c>
      <c r="N593" s="9">
        <v>23433.279999999999</v>
      </c>
      <c r="O593" s="8" t="s">
        <v>30</v>
      </c>
      <c r="P593" t="str">
        <f>TEXT(Table1[[#This Row],[Transaction_Date]],"mmm")</f>
        <v>Dec</v>
      </c>
      <c r="Q593" s="11">
        <v>46018</v>
      </c>
      <c r="R593" s="8" t="s">
        <v>1481</v>
      </c>
      <c r="S593" s="8" t="s">
        <v>54</v>
      </c>
      <c r="T593" s="9">
        <v>4802</v>
      </c>
      <c r="U593" t="s">
        <v>33</v>
      </c>
      <c r="V593" s="8" t="s">
        <v>62</v>
      </c>
      <c r="W593"/>
      <c r="X593"/>
    </row>
    <row r="594" spans="1:24" hidden="1" x14ac:dyDescent="0.3">
      <c r="A594" t="s">
        <v>1482</v>
      </c>
      <c r="B594" t="s">
        <v>1068</v>
      </c>
      <c r="C594">
        <v>49</v>
      </c>
      <c r="D594" t="s">
        <v>84</v>
      </c>
      <c r="E594" t="s">
        <v>85</v>
      </c>
      <c r="F594" t="s">
        <v>84</v>
      </c>
      <c r="G594" t="s">
        <v>51</v>
      </c>
      <c r="H594" s="8" t="s">
        <v>40</v>
      </c>
      <c r="I594" s="9">
        <v>110543.79</v>
      </c>
      <c r="J594" s="9">
        <v>51466.95</v>
      </c>
      <c r="K594" s="8" t="s">
        <v>74</v>
      </c>
      <c r="L594" s="10">
        <v>0</v>
      </c>
      <c r="M594" s="8" t="s">
        <v>75</v>
      </c>
      <c r="N594" s="9">
        <v>0</v>
      </c>
      <c r="O594" s="8" t="s">
        <v>30</v>
      </c>
      <c r="P594" t="str">
        <f>TEXT(Table1[[#This Row],[Transaction_Date]],"mmm")</f>
        <v>Jan</v>
      </c>
      <c r="Q594" s="11">
        <v>45667</v>
      </c>
      <c r="R594" s="8" t="s">
        <v>1483</v>
      </c>
      <c r="S594" s="8" t="s">
        <v>32</v>
      </c>
      <c r="T594" s="9">
        <v>516.33000000000004</v>
      </c>
      <c r="U594" t="s">
        <v>71</v>
      </c>
      <c r="V594" s="8" t="s">
        <v>34</v>
      </c>
      <c r="W594"/>
      <c r="X594"/>
    </row>
    <row r="595" spans="1:24" hidden="1" x14ac:dyDescent="0.3">
      <c r="A595" t="s">
        <v>1484</v>
      </c>
      <c r="B595" t="s">
        <v>168</v>
      </c>
      <c r="C595">
        <v>39</v>
      </c>
      <c r="D595" t="s">
        <v>24</v>
      </c>
      <c r="E595" t="s">
        <v>25</v>
      </c>
      <c r="F595" t="s">
        <v>24</v>
      </c>
      <c r="G595" t="s">
        <v>51</v>
      </c>
      <c r="H595" s="8" t="s">
        <v>51</v>
      </c>
      <c r="I595" s="9">
        <v>55766.18</v>
      </c>
      <c r="J595" s="9">
        <v>28925.53</v>
      </c>
      <c r="K595" s="8" t="s">
        <v>59</v>
      </c>
      <c r="L595" s="10">
        <v>133598.12</v>
      </c>
      <c r="M595" s="8" t="s">
        <v>29</v>
      </c>
      <c r="N595" s="9">
        <v>42948.51</v>
      </c>
      <c r="O595" s="8" t="s">
        <v>30</v>
      </c>
      <c r="P595" t="str">
        <f>TEXT(Table1[[#This Row],[Transaction_Date]],"mmm")</f>
        <v>Mar</v>
      </c>
      <c r="Q595" s="11">
        <v>45743</v>
      </c>
      <c r="R595" s="8" t="s">
        <v>1485</v>
      </c>
      <c r="S595" s="8" t="s">
        <v>32</v>
      </c>
      <c r="T595" s="9">
        <v>4802.84</v>
      </c>
      <c r="U595" t="s">
        <v>61</v>
      </c>
      <c r="V595" s="8" t="s">
        <v>62</v>
      </c>
      <c r="W595"/>
      <c r="X595"/>
    </row>
    <row r="596" spans="1:24" hidden="1" x14ac:dyDescent="0.3">
      <c r="A596" t="s">
        <v>1486</v>
      </c>
      <c r="B596" t="s">
        <v>737</v>
      </c>
      <c r="C596">
        <v>40</v>
      </c>
      <c r="D596" t="s">
        <v>57</v>
      </c>
      <c r="E596" t="s">
        <v>58</v>
      </c>
      <c r="F596" t="s">
        <v>57</v>
      </c>
      <c r="G596" t="s">
        <v>26</v>
      </c>
      <c r="H596" s="8" t="s">
        <v>51</v>
      </c>
      <c r="I596" s="9">
        <v>108376.24</v>
      </c>
      <c r="J596" s="9">
        <v>48939.8</v>
      </c>
      <c r="K596" s="8" t="s">
        <v>52</v>
      </c>
      <c r="L596" s="10">
        <v>85840.94</v>
      </c>
      <c r="M596" s="8" t="s">
        <v>42</v>
      </c>
      <c r="N596" s="9">
        <v>0</v>
      </c>
      <c r="O596" s="8" t="s">
        <v>30</v>
      </c>
      <c r="P596" t="str">
        <f>TEXT(Table1[[#This Row],[Transaction_Date]],"mmm")</f>
        <v>Sep</v>
      </c>
      <c r="Q596" s="11">
        <v>45925</v>
      </c>
      <c r="R596" s="8" t="s">
        <v>1487</v>
      </c>
      <c r="S596" s="8" t="s">
        <v>70</v>
      </c>
      <c r="T596" s="9">
        <v>2250.87</v>
      </c>
      <c r="U596" t="s">
        <v>77</v>
      </c>
      <c r="V596" s="8" t="s">
        <v>62</v>
      </c>
      <c r="W596"/>
      <c r="X596"/>
    </row>
    <row r="597" spans="1:24" x14ac:dyDescent="0.3">
      <c r="A597" t="s">
        <v>1488</v>
      </c>
      <c r="B597" t="s">
        <v>1096</v>
      </c>
      <c r="C597">
        <v>25</v>
      </c>
      <c r="D597" t="s">
        <v>92</v>
      </c>
      <c r="E597" t="s">
        <v>93</v>
      </c>
      <c r="F597" t="s">
        <v>92</v>
      </c>
      <c r="G597" t="s">
        <v>39</v>
      </c>
      <c r="H597" s="8" t="s">
        <v>67</v>
      </c>
      <c r="I597" s="9">
        <v>30291.46</v>
      </c>
      <c r="J597" s="9">
        <v>23068.33</v>
      </c>
      <c r="K597" s="8" t="s">
        <v>74</v>
      </c>
      <c r="L597" s="10">
        <v>0</v>
      </c>
      <c r="M597" s="8" t="s">
        <v>75</v>
      </c>
      <c r="N597" s="9">
        <v>0</v>
      </c>
      <c r="O597" s="8" t="s">
        <v>30</v>
      </c>
      <c r="P597" t="str">
        <f>TEXT(Table1[[#This Row],[Transaction_Date]],"mmm")</f>
        <v>Dec</v>
      </c>
      <c r="Q597" s="11">
        <v>46009</v>
      </c>
      <c r="R597" s="8" t="s">
        <v>1489</v>
      </c>
      <c r="S597" s="8" t="s">
        <v>44</v>
      </c>
      <c r="T597" s="9">
        <v>946.55</v>
      </c>
      <c r="U597" t="s">
        <v>61</v>
      </c>
      <c r="V597" s="8" t="s">
        <v>34</v>
      </c>
      <c r="W597"/>
      <c r="X597"/>
    </row>
    <row r="598" spans="1:24" hidden="1" x14ac:dyDescent="0.3">
      <c r="A598" t="s">
        <v>1490</v>
      </c>
      <c r="B598" t="s">
        <v>1171</v>
      </c>
      <c r="C598">
        <v>50</v>
      </c>
      <c r="D598" t="s">
        <v>49</v>
      </c>
      <c r="E598" t="s">
        <v>50</v>
      </c>
      <c r="F598" t="s">
        <v>49</v>
      </c>
      <c r="G598" t="s">
        <v>51</v>
      </c>
      <c r="H598" s="8" t="s">
        <v>40</v>
      </c>
      <c r="I598" s="9">
        <v>60636.32</v>
      </c>
      <c r="J598" s="9">
        <v>56264.62</v>
      </c>
      <c r="K598" s="8" t="s">
        <v>68</v>
      </c>
      <c r="L598" s="10">
        <v>25000</v>
      </c>
      <c r="M598" s="8" t="s">
        <v>42</v>
      </c>
      <c r="N598" s="9">
        <v>0</v>
      </c>
      <c r="O598" s="8" t="s">
        <v>30</v>
      </c>
      <c r="P598" t="str">
        <f>TEXT(Table1[[#This Row],[Transaction_Date]],"mmm")</f>
        <v>Nov</v>
      </c>
      <c r="Q598" s="11">
        <v>45973</v>
      </c>
      <c r="R598" s="8" t="s">
        <v>1491</v>
      </c>
      <c r="S598" s="8" t="s">
        <v>70</v>
      </c>
      <c r="T598" s="9">
        <v>1306.8699999999999</v>
      </c>
      <c r="U598" t="s">
        <v>33</v>
      </c>
      <c r="V598" s="8" t="s">
        <v>62</v>
      </c>
      <c r="W598"/>
      <c r="X598"/>
    </row>
    <row r="599" spans="1:24" hidden="1" x14ac:dyDescent="0.3">
      <c r="A599" t="s">
        <v>1492</v>
      </c>
      <c r="B599" t="s">
        <v>1412</v>
      </c>
      <c r="C599">
        <v>25</v>
      </c>
      <c r="D599" t="s">
        <v>97</v>
      </c>
      <c r="E599" t="s">
        <v>98</v>
      </c>
      <c r="F599" t="s">
        <v>97</v>
      </c>
      <c r="G599" t="s">
        <v>51</v>
      </c>
      <c r="H599" s="8" t="s">
        <v>40</v>
      </c>
      <c r="I599" s="9">
        <v>12000</v>
      </c>
      <c r="J599" s="9">
        <v>35066.43</v>
      </c>
      <c r="K599" s="8" t="s">
        <v>59</v>
      </c>
      <c r="L599" s="10">
        <v>128827.09</v>
      </c>
      <c r="M599" s="8" t="s">
        <v>42</v>
      </c>
      <c r="N599" s="9">
        <v>0</v>
      </c>
      <c r="O599" s="8" t="s">
        <v>30</v>
      </c>
      <c r="P599" t="str">
        <f>TEXT(Table1[[#This Row],[Transaction_Date]],"mmm")</f>
        <v>May</v>
      </c>
      <c r="Q599" s="11">
        <v>45785</v>
      </c>
      <c r="R599" s="8" t="s">
        <v>1493</v>
      </c>
      <c r="S599" s="8" t="s">
        <v>32</v>
      </c>
      <c r="T599" s="9">
        <v>8775.27</v>
      </c>
      <c r="U599" t="s">
        <v>61</v>
      </c>
      <c r="V599" s="8" t="s">
        <v>62</v>
      </c>
      <c r="W599"/>
      <c r="X599"/>
    </row>
    <row r="600" spans="1:24" hidden="1" x14ac:dyDescent="0.3">
      <c r="A600" t="s">
        <v>1494</v>
      </c>
      <c r="B600" t="s">
        <v>101</v>
      </c>
      <c r="C600">
        <v>25</v>
      </c>
      <c r="D600" t="s">
        <v>24</v>
      </c>
      <c r="E600" t="s">
        <v>25</v>
      </c>
      <c r="F600" t="s">
        <v>24</v>
      </c>
      <c r="G600" t="s">
        <v>80</v>
      </c>
      <c r="H600" s="8" t="s">
        <v>51</v>
      </c>
      <c r="I600" s="9">
        <v>25630.33</v>
      </c>
      <c r="J600" s="9">
        <v>9961.74</v>
      </c>
      <c r="K600" s="8" t="s">
        <v>59</v>
      </c>
      <c r="L600" s="10">
        <v>114931.69</v>
      </c>
      <c r="M600" s="8" t="s">
        <v>42</v>
      </c>
      <c r="N600" s="9">
        <v>0</v>
      </c>
      <c r="O600" s="8" t="s">
        <v>30</v>
      </c>
      <c r="P600" t="str">
        <f>TEXT(Table1[[#This Row],[Transaction_Date]],"mmm")</f>
        <v>Dec</v>
      </c>
      <c r="Q600" s="11">
        <v>45993</v>
      </c>
      <c r="R600" s="8" t="s">
        <v>1495</v>
      </c>
      <c r="S600" s="8" t="s">
        <v>44</v>
      </c>
      <c r="T600" s="9">
        <v>2928.82</v>
      </c>
      <c r="U600" t="s">
        <v>77</v>
      </c>
      <c r="V600" s="8" t="s">
        <v>62</v>
      </c>
      <c r="W600"/>
      <c r="X600"/>
    </row>
    <row r="601" spans="1:24" hidden="1" x14ac:dyDescent="0.3">
      <c r="A601" t="s">
        <v>1496</v>
      </c>
      <c r="B601" t="s">
        <v>365</v>
      </c>
      <c r="C601">
        <v>40</v>
      </c>
      <c r="D601" t="s">
        <v>97</v>
      </c>
      <c r="E601" t="s">
        <v>98</v>
      </c>
      <c r="F601" t="s">
        <v>97</v>
      </c>
      <c r="G601" t="s">
        <v>26</v>
      </c>
      <c r="H601" s="8" t="s">
        <v>51</v>
      </c>
      <c r="I601" s="9">
        <v>21398.98</v>
      </c>
      <c r="J601" s="9">
        <v>25661.58</v>
      </c>
      <c r="K601" s="8" t="s">
        <v>28</v>
      </c>
      <c r="L601" s="10">
        <v>228080.32</v>
      </c>
      <c r="M601" s="8" t="s">
        <v>29</v>
      </c>
      <c r="N601" s="9">
        <v>207901.76</v>
      </c>
      <c r="O601" s="8" t="s">
        <v>228</v>
      </c>
      <c r="P601" t="str">
        <f>TEXT(Table1[[#This Row],[Transaction_Date]],"mmm")</f>
        <v>Nov</v>
      </c>
      <c r="Q601" s="11">
        <v>45983</v>
      </c>
      <c r="R601" s="8" t="s">
        <v>1497</v>
      </c>
      <c r="S601" s="8" t="s">
        <v>32</v>
      </c>
      <c r="T601" s="9">
        <v>20249.02</v>
      </c>
      <c r="U601" t="s">
        <v>71</v>
      </c>
      <c r="V601" s="8" t="s">
        <v>62</v>
      </c>
      <c r="W601"/>
      <c r="X601"/>
    </row>
    <row r="602" spans="1:24" hidden="1" x14ac:dyDescent="0.3">
      <c r="A602" t="s">
        <v>1498</v>
      </c>
      <c r="B602" t="s">
        <v>182</v>
      </c>
      <c r="C602">
        <v>37</v>
      </c>
      <c r="D602" t="s">
        <v>65</v>
      </c>
      <c r="E602" t="s">
        <v>66</v>
      </c>
      <c r="F602" t="s">
        <v>65</v>
      </c>
      <c r="G602" t="s">
        <v>26</v>
      </c>
      <c r="H602" s="8" t="s">
        <v>27</v>
      </c>
      <c r="I602" s="9">
        <v>54148.08</v>
      </c>
      <c r="J602" s="9">
        <v>6061.77</v>
      </c>
      <c r="K602" s="8" t="s">
        <v>68</v>
      </c>
      <c r="L602" s="10">
        <v>197285.59</v>
      </c>
      <c r="M602" s="8" t="s">
        <v>42</v>
      </c>
      <c r="N602" s="9">
        <v>0</v>
      </c>
      <c r="O602" s="8" t="s">
        <v>30</v>
      </c>
      <c r="P602" t="str">
        <f>TEXT(Table1[[#This Row],[Transaction_Date]],"mmm")</f>
        <v>Sep</v>
      </c>
      <c r="Q602" s="11">
        <v>45920</v>
      </c>
      <c r="R602" s="8" t="s">
        <v>1499</v>
      </c>
      <c r="S602" s="8" t="s">
        <v>44</v>
      </c>
      <c r="T602" s="9">
        <v>1179.06</v>
      </c>
      <c r="U602" t="s">
        <v>77</v>
      </c>
      <c r="V602" s="8" t="s">
        <v>62</v>
      </c>
      <c r="W602"/>
      <c r="X602"/>
    </row>
    <row r="603" spans="1:24" x14ac:dyDescent="0.3">
      <c r="A603" t="s">
        <v>1500</v>
      </c>
      <c r="B603" t="s">
        <v>424</v>
      </c>
      <c r="C603">
        <v>22</v>
      </c>
      <c r="D603" t="s">
        <v>97</v>
      </c>
      <c r="E603" t="s">
        <v>98</v>
      </c>
      <c r="F603" t="s">
        <v>97</v>
      </c>
      <c r="G603" t="s">
        <v>39</v>
      </c>
      <c r="H603" s="8" t="s">
        <v>51</v>
      </c>
      <c r="I603" s="9">
        <v>65385.94</v>
      </c>
      <c r="J603" s="9">
        <v>21554.7</v>
      </c>
      <c r="K603" s="8" t="s">
        <v>74</v>
      </c>
      <c r="L603" s="10">
        <v>0</v>
      </c>
      <c r="M603" s="8" t="s">
        <v>75</v>
      </c>
      <c r="N603" s="9">
        <v>0</v>
      </c>
      <c r="O603" s="8" t="s">
        <v>30</v>
      </c>
      <c r="P603" t="str">
        <f>TEXT(Table1[[#This Row],[Transaction_Date]],"mmm")</f>
        <v>Nov</v>
      </c>
      <c r="Q603" s="11">
        <v>45965</v>
      </c>
      <c r="R603" s="8" t="s">
        <v>1501</v>
      </c>
      <c r="S603" s="8" t="s">
        <v>54</v>
      </c>
      <c r="T603" s="9">
        <v>5469.16</v>
      </c>
      <c r="U603" t="s">
        <v>45</v>
      </c>
      <c r="V603" s="8" t="s">
        <v>34</v>
      </c>
      <c r="W603"/>
      <c r="X603"/>
    </row>
    <row r="604" spans="1:24" hidden="1" x14ac:dyDescent="0.3">
      <c r="A604" t="s">
        <v>1502</v>
      </c>
      <c r="B604" t="s">
        <v>1009</v>
      </c>
      <c r="C604">
        <v>48</v>
      </c>
      <c r="D604" t="s">
        <v>24</v>
      </c>
      <c r="E604" t="s">
        <v>25</v>
      </c>
      <c r="F604" t="s">
        <v>24</v>
      </c>
      <c r="G604" t="s">
        <v>80</v>
      </c>
      <c r="H604" s="8" t="s">
        <v>67</v>
      </c>
      <c r="I604" s="9">
        <v>37297.1</v>
      </c>
      <c r="J604" s="9">
        <v>19554.21</v>
      </c>
      <c r="K604" s="8" t="s">
        <v>68</v>
      </c>
      <c r="L604" s="10">
        <v>107006.03</v>
      </c>
      <c r="M604" s="8" t="s">
        <v>29</v>
      </c>
      <c r="N604" s="9">
        <v>32457.3</v>
      </c>
      <c r="O604" s="8" t="s">
        <v>30</v>
      </c>
      <c r="P604" t="str">
        <f>TEXT(Table1[[#This Row],[Transaction_Date]],"mmm")</f>
        <v>Aug</v>
      </c>
      <c r="Q604" s="11">
        <v>45878</v>
      </c>
      <c r="R604" s="8" t="s">
        <v>1503</v>
      </c>
      <c r="S604" s="8" t="s">
        <v>70</v>
      </c>
      <c r="T604" s="9">
        <v>2358.77</v>
      </c>
      <c r="U604" t="s">
        <v>106</v>
      </c>
      <c r="V604" s="8" t="s">
        <v>34</v>
      </c>
      <c r="W604"/>
      <c r="X604"/>
    </row>
    <row r="605" spans="1:24" x14ac:dyDescent="0.3">
      <c r="A605" t="s">
        <v>1504</v>
      </c>
      <c r="B605" t="s">
        <v>379</v>
      </c>
      <c r="C605">
        <v>53</v>
      </c>
      <c r="D605" t="s">
        <v>37</v>
      </c>
      <c r="E605" t="s">
        <v>38</v>
      </c>
      <c r="F605" t="s">
        <v>37</v>
      </c>
      <c r="G605" t="s">
        <v>39</v>
      </c>
      <c r="H605" s="8" t="s">
        <v>67</v>
      </c>
      <c r="I605" s="9">
        <v>30237.71</v>
      </c>
      <c r="J605" s="9">
        <v>10529.13</v>
      </c>
      <c r="K605" s="8" t="s">
        <v>59</v>
      </c>
      <c r="L605" s="10">
        <v>117701.27</v>
      </c>
      <c r="M605" s="8" t="s">
        <v>42</v>
      </c>
      <c r="N605" s="9">
        <v>0</v>
      </c>
      <c r="O605" s="8" t="s">
        <v>30</v>
      </c>
      <c r="P605" t="str">
        <f>TEXT(Table1[[#This Row],[Transaction_Date]],"mmm")</f>
        <v>Aug</v>
      </c>
      <c r="Q605" s="11">
        <v>45875</v>
      </c>
      <c r="R605" s="8" t="s">
        <v>1505</v>
      </c>
      <c r="S605" s="8" t="s">
        <v>54</v>
      </c>
      <c r="T605" s="9">
        <v>2391.02</v>
      </c>
      <c r="U605" t="s">
        <v>45</v>
      </c>
      <c r="V605" s="8" t="s">
        <v>62</v>
      </c>
      <c r="W605"/>
      <c r="X605"/>
    </row>
    <row r="606" spans="1:24" hidden="1" x14ac:dyDescent="0.3">
      <c r="A606" t="s">
        <v>1506</v>
      </c>
      <c r="B606" t="s">
        <v>135</v>
      </c>
      <c r="C606">
        <v>48</v>
      </c>
      <c r="D606" t="s">
        <v>92</v>
      </c>
      <c r="E606" t="s">
        <v>93</v>
      </c>
      <c r="F606" t="s">
        <v>92</v>
      </c>
      <c r="G606" t="s">
        <v>80</v>
      </c>
      <c r="H606" s="8" t="s">
        <v>40</v>
      </c>
      <c r="I606" s="9">
        <v>81544.92</v>
      </c>
      <c r="J606" s="9">
        <v>19225.22</v>
      </c>
      <c r="K606" s="8" t="s">
        <v>52</v>
      </c>
      <c r="L606" s="10">
        <v>37619.31</v>
      </c>
      <c r="M606" s="8" t="s">
        <v>29</v>
      </c>
      <c r="N606" s="9">
        <v>22515.09</v>
      </c>
      <c r="O606" s="8" t="s">
        <v>30</v>
      </c>
      <c r="P606" t="str">
        <f>TEXT(Table1[[#This Row],[Transaction_Date]],"mmm")</f>
        <v>Apr</v>
      </c>
      <c r="Q606" s="11">
        <v>45763</v>
      </c>
      <c r="R606" s="8" t="s">
        <v>1507</v>
      </c>
      <c r="S606" s="8" t="s">
        <v>70</v>
      </c>
      <c r="T606" s="9">
        <v>1234.83</v>
      </c>
      <c r="U606" t="s">
        <v>33</v>
      </c>
      <c r="V606" s="8" t="s">
        <v>46</v>
      </c>
      <c r="W606"/>
      <c r="X606"/>
    </row>
    <row r="607" spans="1:24" hidden="1" x14ac:dyDescent="0.3">
      <c r="A607" t="s">
        <v>1508</v>
      </c>
      <c r="B607" t="s">
        <v>497</v>
      </c>
      <c r="C607">
        <v>37</v>
      </c>
      <c r="D607" t="s">
        <v>37</v>
      </c>
      <c r="E607" t="s">
        <v>38</v>
      </c>
      <c r="F607" t="s">
        <v>37</v>
      </c>
      <c r="G607" t="s">
        <v>26</v>
      </c>
      <c r="H607" s="8" t="s">
        <v>51</v>
      </c>
      <c r="I607" s="9">
        <v>69778.33</v>
      </c>
      <c r="J607" s="9">
        <v>82883.09</v>
      </c>
      <c r="K607" s="8" t="s">
        <v>74</v>
      </c>
      <c r="L607" s="10">
        <v>0</v>
      </c>
      <c r="M607" s="8" t="s">
        <v>75</v>
      </c>
      <c r="N607" s="9">
        <v>0</v>
      </c>
      <c r="O607" s="8" t="s">
        <v>30</v>
      </c>
      <c r="P607" t="str">
        <f>TEXT(Table1[[#This Row],[Transaction_Date]],"mmm")</f>
        <v>Nov</v>
      </c>
      <c r="Q607" s="11">
        <v>45978</v>
      </c>
      <c r="R607" s="8" t="s">
        <v>1509</v>
      </c>
      <c r="S607" s="8" t="s">
        <v>70</v>
      </c>
      <c r="T607" s="9">
        <v>536.4</v>
      </c>
      <c r="U607" t="s">
        <v>45</v>
      </c>
      <c r="V607" s="8" t="s">
        <v>46</v>
      </c>
      <c r="W607"/>
      <c r="X607"/>
    </row>
    <row r="608" spans="1:24" hidden="1" x14ac:dyDescent="0.3">
      <c r="A608" t="s">
        <v>1510</v>
      </c>
      <c r="B608" t="s">
        <v>1002</v>
      </c>
      <c r="C608">
        <v>65</v>
      </c>
      <c r="D608" t="s">
        <v>24</v>
      </c>
      <c r="E608" t="s">
        <v>25</v>
      </c>
      <c r="F608" t="s">
        <v>24</v>
      </c>
      <c r="G608" t="s">
        <v>51</v>
      </c>
      <c r="H608" s="8" t="s">
        <v>67</v>
      </c>
      <c r="I608" s="9">
        <v>12000</v>
      </c>
      <c r="J608" s="9">
        <v>5939.68</v>
      </c>
      <c r="K608" s="8" t="s">
        <v>59</v>
      </c>
      <c r="L608" s="10">
        <v>115708.14</v>
      </c>
      <c r="M608" s="8" t="s">
        <v>29</v>
      </c>
      <c r="N608" s="9">
        <v>69970.09</v>
      </c>
      <c r="O608" s="8" t="s">
        <v>30</v>
      </c>
      <c r="P608" t="str">
        <f>TEXT(Table1[[#This Row],[Transaction_Date]],"mmm")</f>
        <v>May</v>
      </c>
      <c r="Q608" s="11">
        <v>45808</v>
      </c>
      <c r="R608" s="8" t="s">
        <v>1511</v>
      </c>
      <c r="S608" s="8" t="s">
        <v>54</v>
      </c>
      <c r="T608" s="9">
        <v>1342.52</v>
      </c>
      <c r="U608" t="s">
        <v>77</v>
      </c>
      <c r="V608" s="8" t="s">
        <v>34</v>
      </c>
      <c r="W608"/>
      <c r="X608"/>
    </row>
    <row r="609" spans="1:24" x14ac:dyDescent="0.3">
      <c r="A609" t="s">
        <v>1512</v>
      </c>
      <c r="B609" t="s">
        <v>600</v>
      </c>
      <c r="C609">
        <v>50</v>
      </c>
      <c r="D609" t="s">
        <v>49</v>
      </c>
      <c r="E609" t="s">
        <v>50</v>
      </c>
      <c r="F609" t="s">
        <v>49</v>
      </c>
      <c r="G609" t="s">
        <v>39</v>
      </c>
      <c r="H609" s="8" t="s">
        <v>40</v>
      </c>
      <c r="I609" s="9">
        <v>55663.22</v>
      </c>
      <c r="J609" s="9">
        <v>9108.8700000000008</v>
      </c>
      <c r="K609" s="8" t="s">
        <v>68</v>
      </c>
      <c r="L609" s="10">
        <v>143129.60000000001</v>
      </c>
      <c r="M609" s="8" t="s">
        <v>29</v>
      </c>
      <c r="N609" s="9">
        <v>78843.199999999997</v>
      </c>
      <c r="O609" s="8" t="s">
        <v>30</v>
      </c>
      <c r="P609" t="str">
        <f>TEXT(Table1[[#This Row],[Transaction_Date]],"mmm")</f>
        <v>Jan</v>
      </c>
      <c r="Q609" s="11">
        <v>45660</v>
      </c>
      <c r="R609" s="8" t="s">
        <v>1513</v>
      </c>
      <c r="S609" s="8" t="s">
        <v>32</v>
      </c>
      <c r="T609" s="9">
        <v>4562.83</v>
      </c>
      <c r="U609" t="s">
        <v>61</v>
      </c>
      <c r="V609" s="8" t="s">
        <v>46</v>
      </c>
      <c r="W609"/>
      <c r="X609"/>
    </row>
    <row r="610" spans="1:24" hidden="1" x14ac:dyDescent="0.3">
      <c r="A610" t="s">
        <v>1514</v>
      </c>
      <c r="B610" t="s">
        <v>1515</v>
      </c>
      <c r="C610">
        <v>44</v>
      </c>
      <c r="D610" t="s">
        <v>84</v>
      </c>
      <c r="E610" t="s">
        <v>85</v>
      </c>
      <c r="F610" t="s">
        <v>84</v>
      </c>
      <c r="G610" t="s">
        <v>51</v>
      </c>
      <c r="H610" s="8" t="s">
        <v>40</v>
      </c>
      <c r="I610" s="9">
        <v>72077.03</v>
      </c>
      <c r="J610" s="9">
        <v>8715.94</v>
      </c>
      <c r="K610" s="8" t="s">
        <v>74</v>
      </c>
      <c r="L610" s="10">
        <v>0</v>
      </c>
      <c r="M610" s="8" t="s">
        <v>75</v>
      </c>
      <c r="N610" s="9">
        <v>0</v>
      </c>
      <c r="O610" s="8" t="s">
        <v>30</v>
      </c>
      <c r="P610" t="str">
        <f>TEXT(Table1[[#This Row],[Transaction_Date]],"mmm")</f>
        <v>Nov</v>
      </c>
      <c r="Q610" s="11">
        <v>45971</v>
      </c>
      <c r="R610" s="8" t="s">
        <v>1516</v>
      </c>
      <c r="S610" s="8" t="s">
        <v>54</v>
      </c>
      <c r="T610" s="9">
        <v>2572.2600000000002</v>
      </c>
      <c r="U610" t="s">
        <v>71</v>
      </c>
      <c r="V610" s="8" t="s">
        <v>62</v>
      </c>
      <c r="W610"/>
      <c r="X610"/>
    </row>
    <row r="611" spans="1:24" x14ac:dyDescent="0.3">
      <c r="A611" t="s">
        <v>1517</v>
      </c>
      <c r="B611" t="s">
        <v>921</v>
      </c>
      <c r="C611">
        <v>25</v>
      </c>
      <c r="D611" t="s">
        <v>65</v>
      </c>
      <c r="E611" t="s">
        <v>66</v>
      </c>
      <c r="F611" t="s">
        <v>65</v>
      </c>
      <c r="G611" t="s">
        <v>39</v>
      </c>
      <c r="H611" s="8" t="s">
        <v>40</v>
      </c>
      <c r="I611" s="9">
        <v>49578.75</v>
      </c>
      <c r="J611" s="9">
        <v>55121.760000000002</v>
      </c>
      <c r="K611" s="8" t="s">
        <v>74</v>
      </c>
      <c r="L611" s="10">
        <v>0</v>
      </c>
      <c r="M611" s="8" t="s">
        <v>75</v>
      </c>
      <c r="N611" s="9">
        <v>0</v>
      </c>
      <c r="O611" s="8" t="s">
        <v>30</v>
      </c>
      <c r="P611" t="str">
        <f>TEXT(Table1[[#This Row],[Transaction_Date]],"mmm")</f>
        <v>Apr</v>
      </c>
      <c r="Q611" s="11">
        <v>45769</v>
      </c>
      <c r="R611" s="8" t="s">
        <v>1518</v>
      </c>
      <c r="S611" s="8" t="s">
        <v>54</v>
      </c>
      <c r="T611" s="9">
        <v>3298.57</v>
      </c>
      <c r="U611" t="s">
        <v>106</v>
      </c>
      <c r="V611" s="8" t="s">
        <v>62</v>
      </c>
      <c r="W611"/>
      <c r="X611"/>
    </row>
    <row r="612" spans="1:24" x14ac:dyDescent="0.3">
      <c r="A612" t="s">
        <v>1519</v>
      </c>
      <c r="B612" t="s">
        <v>129</v>
      </c>
      <c r="C612">
        <v>38</v>
      </c>
      <c r="D612" t="s">
        <v>57</v>
      </c>
      <c r="E612" t="s">
        <v>58</v>
      </c>
      <c r="F612" t="s">
        <v>57</v>
      </c>
      <c r="G612" t="s">
        <v>39</v>
      </c>
      <c r="H612" s="8" t="s">
        <v>51</v>
      </c>
      <c r="I612" s="9">
        <v>101448.52</v>
      </c>
      <c r="J612" s="9">
        <v>21221.81</v>
      </c>
      <c r="K612" s="8" t="s">
        <v>68</v>
      </c>
      <c r="L612" s="10">
        <v>31400.400000000001</v>
      </c>
      <c r="M612" s="8" t="s">
        <v>29</v>
      </c>
      <c r="N612" s="9">
        <v>10729.43</v>
      </c>
      <c r="O612" s="8" t="s">
        <v>30</v>
      </c>
      <c r="P612" t="str">
        <f>TEXT(Table1[[#This Row],[Transaction_Date]],"mmm")</f>
        <v>Mar</v>
      </c>
      <c r="Q612" s="11">
        <v>45717</v>
      </c>
      <c r="R612" s="8" t="s">
        <v>1520</v>
      </c>
      <c r="S612" s="8" t="s">
        <v>70</v>
      </c>
      <c r="T612" s="9">
        <v>1735.36</v>
      </c>
      <c r="U612" t="s">
        <v>33</v>
      </c>
      <c r="V612" s="8" t="s">
        <v>62</v>
      </c>
      <c r="W612"/>
      <c r="X612"/>
    </row>
    <row r="613" spans="1:24" hidden="1" x14ac:dyDescent="0.3">
      <c r="A613" t="s">
        <v>1521</v>
      </c>
      <c r="B613" t="s">
        <v>390</v>
      </c>
      <c r="C613">
        <v>48</v>
      </c>
      <c r="D613" t="s">
        <v>49</v>
      </c>
      <c r="E613" t="s">
        <v>50</v>
      </c>
      <c r="F613" t="s">
        <v>49</v>
      </c>
      <c r="G613" t="s">
        <v>80</v>
      </c>
      <c r="H613" s="8" t="s">
        <v>40</v>
      </c>
      <c r="I613" s="9">
        <v>33353.07</v>
      </c>
      <c r="J613" s="9">
        <v>49175.41</v>
      </c>
      <c r="K613" s="8" t="s">
        <v>28</v>
      </c>
      <c r="L613" s="10">
        <v>28989.67</v>
      </c>
      <c r="M613" s="8" t="s">
        <v>42</v>
      </c>
      <c r="N613" s="9">
        <v>0</v>
      </c>
      <c r="O613" s="8" t="s">
        <v>30</v>
      </c>
      <c r="P613" t="str">
        <f>TEXT(Table1[[#This Row],[Transaction_Date]],"mmm")</f>
        <v>Jan</v>
      </c>
      <c r="Q613" s="11">
        <v>45673</v>
      </c>
      <c r="R613" s="8" t="s">
        <v>1522</v>
      </c>
      <c r="S613" s="8" t="s">
        <v>44</v>
      </c>
      <c r="T613" s="9">
        <v>7182.29</v>
      </c>
      <c r="U613" t="s">
        <v>71</v>
      </c>
      <c r="V613" s="8" t="s">
        <v>34</v>
      </c>
      <c r="W613"/>
      <c r="X613"/>
    </row>
    <row r="614" spans="1:24" x14ac:dyDescent="0.3">
      <c r="A614" t="s">
        <v>1523</v>
      </c>
      <c r="B614" t="s">
        <v>104</v>
      </c>
      <c r="C614">
        <v>58</v>
      </c>
      <c r="D614" t="s">
        <v>92</v>
      </c>
      <c r="E614" t="s">
        <v>93</v>
      </c>
      <c r="F614" t="s">
        <v>92</v>
      </c>
      <c r="G614" t="s">
        <v>39</v>
      </c>
      <c r="H614" s="8" t="s">
        <v>40</v>
      </c>
      <c r="I614" s="9">
        <v>47568.07</v>
      </c>
      <c r="J614" s="9">
        <v>59466.58</v>
      </c>
      <c r="K614" s="8" t="s">
        <v>59</v>
      </c>
      <c r="L614" s="10">
        <v>37400.32</v>
      </c>
      <c r="M614" s="8" t="s">
        <v>29</v>
      </c>
      <c r="N614" s="9">
        <v>30041.439999999999</v>
      </c>
      <c r="O614" s="8" t="s">
        <v>228</v>
      </c>
      <c r="P614" t="str">
        <f>TEXT(Table1[[#This Row],[Transaction_Date]],"mmm")</f>
        <v>Dec</v>
      </c>
      <c r="Q614" s="11">
        <v>46000</v>
      </c>
      <c r="R614" s="8" t="s">
        <v>1524</v>
      </c>
      <c r="S614" s="8" t="s">
        <v>54</v>
      </c>
      <c r="T614" s="9">
        <v>40415.42</v>
      </c>
      <c r="U614" t="s">
        <v>61</v>
      </c>
      <c r="V614" s="8" t="s">
        <v>46</v>
      </c>
      <c r="W614"/>
      <c r="X614"/>
    </row>
    <row r="615" spans="1:24" hidden="1" x14ac:dyDescent="0.3">
      <c r="A615" t="s">
        <v>1525</v>
      </c>
      <c r="B615" t="s">
        <v>1208</v>
      </c>
      <c r="C615">
        <v>38</v>
      </c>
      <c r="D615" t="s">
        <v>65</v>
      </c>
      <c r="E615" t="s">
        <v>66</v>
      </c>
      <c r="F615" t="s">
        <v>65</v>
      </c>
      <c r="G615" t="s">
        <v>26</v>
      </c>
      <c r="H615" s="8" t="s">
        <v>40</v>
      </c>
      <c r="I615" s="9">
        <v>39699.24</v>
      </c>
      <c r="J615" s="9">
        <v>150773.41</v>
      </c>
      <c r="K615" s="8" t="s">
        <v>41</v>
      </c>
      <c r="L615" s="10">
        <v>61489.62</v>
      </c>
      <c r="M615" s="8" t="s">
        <v>42</v>
      </c>
      <c r="N615" s="9">
        <v>0</v>
      </c>
      <c r="O615" s="8" t="s">
        <v>30</v>
      </c>
      <c r="P615" t="str">
        <f>TEXT(Table1[[#This Row],[Transaction_Date]],"mmm")</f>
        <v>Jan</v>
      </c>
      <c r="Q615" s="11">
        <v>45664</v>
      </c>
      <c r="R615" s="8" t="s">
        <v>1526</v>
      </c>
      <c r="S615" s="8" t="s">
        <v>1527</v>
      </c>
      <c r="T615" s="9">
        <v>6073.19</v>
      </c>
      <c r="U615" t="s">
        <v>45</v>
      </c>
      <c r="V615" s="8" t="s">
        <v>46</v>
      </c>
      <c r="W615"/>
      <c r="X615"/>
    </row>
    <row r="616" spans="1:24" x14ac:dyDescent="0.3">
      <c r="A616" t="s">
        <v>1528</v>
      </c>
      <c r="B616" t="s">
        <v>418</v>
      </c>
      <c r="C616">
        <v>32</v>
      </c>
      <c r="D616" t="s">
        <v>49</v>
      </c>
      <c r="E616" t="s">
        <v>50</v>
      </c>
      <c r="F616" t="s">
        <v>49</v>
      </c>
      <c r="G616" t="s">
        <v>39</v>
      </c>
      <c r="H616" s="8" t="s">
        <v>27</v>
      </c>
      <c r="I616" s="9">
        <v>60246.23</v>
      </c>
      <c r="J616" s="9">
        <v>12913.44</v>
      </c>
      <c r="K616" s="8" t="s">
        <v>28</v>
      </c>
      <c r="L616" s="10">
        <v>228356.16</v>
      </c>
      <c r="M616" s="8" t="s">
        <v>29</v>
      </c>
      <c r="N616" s="9">
        <v>100877.21</v>
      </c>
      <c r="O616" s="8" t="s">
        <v>30</v>
      </c>
      <c r="P616" t="str">
        <f>TEXT(Table1[[#This Row],[Transaction_Date]],"mmm")</f>
        <v>Dec</v>
      </c>
      <c r="Q616" s="11">
        <v>46016</v>
      </c>
      <c r="R616" s="8" t="s">
        <v>1529</v>
      </c>
      <c r="S616" s="8" t="s">
        <v>32</v>
      </c>
      <c r="T616" s="9">
        <v>866.46</v>
      </c>
      <c r="U616" t="s">
        <v>71</v>
      </c>
      <c r="V616" s="8" t="s">
        <v>62</v>
      </c>
      <c r="W616"/>
      <c r="X616"/>
    </row>
    <row r="617" spans="1:24" x14ac:dyDescent="0.3">
      <c r="A617" t="s">
        <v>1530</v>
      </c>
      <c r="B617" t="s">
        <v>1531</v>
      </c>
      <c r="C617">
        <v>21</v>
      </c>
      <c r="D617" t="s">
        <v>92</v>
      </c>
      <c r="E617" t="s">
        <v>93</v>
      </c>
      <c r="F617" t="s">
        <v>92</v>
      </c>
      <c r="G617" t="s">
        <v>39</v>
      </c>
      <c r="H617" s="8" t="s">
        <v>40</v>
      </c>
      <c r="I617" s="9">
        <v>67958.53</v>
      </c>
      <c r="J617" s="9">
        <v>20977.25</v>
      </c>
      <c r="K617" s="8" t="s">
        <v>59</v>
      </c>
      <c r="L617" s="10">
        <v>48879.519999999997</v>
      </c>
      <c r="M617" s="8" t="s">
        <v>29</v>
      </c>
      <c r="N617" s="9">
        <v>33027.03</v>
      </c>
      <c r="O617" s="8" t="s">
        <v>30</v>
      </c>
      <c r="P617" t="str">
        <f>TEXT(Table1[[#This Row],[Transaction_Date]],"mmm")</f>
        <v>Oct</v>
      </c>
      <c r="Q617" s="11">
        <v>45961</v>
      </c>
      <c r="R617" s="8" t="s">
        <v>1532</v>
      </c>
      <c r="S617" s="8" t="s">
        <v>70</v>
      </c>
      <c r="T617" s="9">
        <v>9344.32</v>
      </c>
      <c r="U617" t="s">
        <v>71</v>
      </c>
      <c r="V617" s="8" t="s">
        <v>62</v>
      </c>
      <c r="W617"/>
      <c r="X617"/>
    </row>
    <row r="618" spans="1:24" hidden="1" x14ac:dyDescent="0.3">
      <c r="A618" t="s">
        <v>1533</v>
      </c>
      <c r="B618" t="s">
        <v>104</v>
      </c>
      <c r="C618">
        <v>20</v>
      </c>
      <c r="D618" t="s">
        <v>37</v>
      </c>
      <c r="E618" t="s">
        <v>38</v>
      </c>
      <c r="F618" t="s">
        <v>37</v>
      </c>
      <c r="G618" t="s">
        <v>80</v>
      </c>
      <c r="H618" s="8" t="s">
        <v>40</v>
      </c>
      <c r="I618" s="9">
        <v>85587.33</v>
      </c>
      <c r="J618" s="9">
        <v>5782.05</v>
      </c>
      <c r="K618" s="8" t="s">
        <v>59</v>
      </c>
      <c r="L618" s="10">
        <v>160639.09</v>
      </c>
      <c r="M618" s="8" t="s">
        <v>42</v>
      </c>
      <c r="N618" s="9">
        <v>0</v>
      </c>
      <c r="O618" s="8" t="s">
        <v>30</v>
      </c>
      <c r="P618" t="str">
        <f>TEXT(Table1[[#This Row],[Transaction_Date]],"mmm")</f>
        <v>Apr</v>
      </c>
      <c r="Q618" s="11">
        <v>45751</v>
      </c>
      <c r="R618" s="8" t="s">
        <v>1534</v>
      </c>
      <c r="S618" s="8" t="s">
        <v>70</v>
      </c>
      <c r="T618" s="9">
        <v>4213.37</v>
      </c>
      <c r="U618" t="s">
        <v>77</v>
      </c>
      <c r="V618" s="8" t="s">
        <v>62</v>
      </c>
      <c r="W618"/>
      <c r="X618"/>
    </row>
    <row r="619" spans="1:24" x14ac:dyDescent="0.3">
      <c r="A619" t="s">
        <v>1535</v>
      </c>
      <c r="B619" t="s">
        <v>568</v>
      </c>
      <c r="C619">
        <v>41</v>
      </c>
      <c r="D619" t="s">
        <v>49</v>
      </c>
      <c r="E619" t="s">
        <v>50</v>
      </c>
      <c r="F619" t="s">
        <v>49</v>
      </c>
      <c r="G619" t="s">
        <v>39</v>
      </c>
      <c r="H619" s="8" t="s">
        <v>51</v>
      </c>
      <c r="I619" s="9">
        <v>50392.06</v>
      </c>
      <c r="J619" s="9">
        <v>62703.68</v>
      </c>
      <c r="K619" s="8" t="s">
        <v>59</v>
      </c>
      <c r="L619" s="10">
        <v>25000</v>
      </c>
      <c r="M619" s="8" t="s">
        <v>42</v>
      </c>
      <c r="N619" s="9">
        <v>0</v>
      </c>
      <c r="O619" s="8" t="s">
        <v>30</v>
      </c>
      <c r="P619" t="str">
        <f>TEXT(Table1[[#This Row],[Transaction_Date]],"mmm")</f>
        <v>Feb</v>
      </c>
      <c r="Q619" s="11">
        <v>45712</v>
      </c>
      <c r="R619" s="8" t="s">
        <v>1536</v>
      </c>
      <c r="S619" s="8" t="s">
        <v>54</v>
      </c>
      <c r="T619" s="9">
        <v>3743.28</v>
      </c>
      <c r="U619" t="s">
        <v>106</v>
      </c>
      <c r="V619" s="8" t="s">
        <v>62</v>
      </c>
      <c r="W619"/>
      <c r="X619"/>
    </row>
    <row r="620" spans="1:24" x14ac:dyDescent="0.3">
      <c r="A620" t="s">
        <v>1537</v>
      </c>
      <c r="B620" t="s">
        <v>580</v>
      </c>
      <c r="C620">
        <v>49</v>
      </c>
      <c r="D620" t="s">
        <v>65</v>
      </c>
      <c r="E620" t="s">
        <v>66</v>
      </c>
      <c r="F620" t="s">
        <v>65</v>
      </c>
      <c r="G620" t="s">
        <v>39</v>
      </c>
      <c r="H620" s="8" t="s">
        <v>40</v>
      </c>
      <c r="I620" s="9">
        <v>49297.07</v>
      </c>
      <c r="J620" s="9">
        <v>48934.11</v>
      </c>
      <c r="K620" s="8" t="s">
        <v>28</v>
      </c>
      <c r="L620" s="10">
        <v>25478.65</v>
      </c>
      <c r="M620" s="8" t="s">
        <v>29</v>
      </c>
      <c r="N620" s="9">
        <v>14855.44</v>
      </c>
      <c r="O620" s="8" t="s">
        <v>30</v>
      </c>
      <c r="P620" t="str">
        <f>TEXT(Table1[[#This Row],[Transaction_Date]],"mmm")</f>
        <v>Feb</v>
      </c>
      <c r="Q620" s="11">
        <v>45697</v>
      </c>
      <c r="R620" s="8" t="s">
        <v>1538</v>
      </c>
      <c r="S620" s="8" t="s">
        <v>70</v>
      </c>
      <c r="T620" s="9">
        <v>670.72</v>
      </c>
      <c r="U620" t="s">
        <v>106</v>
      </c>
      <c r="V620" s="8" t="s">
        <v>46</v>
      </c>
      <c r="W620"/>
      <c r="X620"/>
    </row>
    <row r="621" spans="1:24" hidden="1" x14ac:dyDescent="0.3">
      <c r="A621" t="s">
        <v>1539</v>
      </c>
      <c r="B621" t="s">
        <v>304</v>
      </c>
      <c r="C621">
        <v>34</v>
      </c>
      <c r="D621" t="s">
        <v>65</v>
      </c>
      <c r="E621" t="s">
        <v>66</v>
      </c>
      <c r="F621" t="s">
        <v>65</v>
      </c>
      <c r="G621" t="s">
        <v>51</v>
      </c>
      <c r="H621" s="8" t="s">
        <v>40</v>
      </c>
      <c r="I621" s="9">
        <v>23564.1</v>
      </c>
      <c r="J621" s="9">
        <v>15528.87</v>
      </c>
      <c r="K621" s="8" t="s">
        <v>28</v>
      </c>
      <c r="L621" s="10">
        <v>146081.48000000001</v>
      </c>
      <c r="M621" s="8" t="s">
        <v>42</v>
      </c>
      <c r="N621" s="9">
        <v>0</v>
      </c>
      <c r="O621" s="8" t="s">
        <v>30</v>
      </c>
      <c r="P621" t="str">
        <f>TEXT(Table1[[#This Row],[Transaction_Date]],"mmm")</f>
        <v>Feb</v>
      </c>
      <c r="Q621" s="11">
        <v>45708</v>
      </c>
      <c r="R621" s="8" t="s">
        <v>1540</v>
      </c>
      <c r="S621" s="8" t="s">
        <v>54</v>
      </c>
      <c r="T621" s="9">
        <v>8133.26</v>
      </c>
      <c r="U621" t="s">
        <v>77</v>
      </c>
      <c r="V621" s="8" t="s">
        <v>46</v>
      </c>
      <c r="W621"/>
      <c r="X621"/>
    </row>
    <row r="622" spans="1:24" hidden="1" x14ac:dyDescent="0.3">
      <c r="A622" t="s">
        <v>1541</v>
      </c>
      <c r="B622" t="s">
        <v>1171</v>
      </c>
      <c r="C622">
        <v>42</v>
      </c>
      <c r="D622" t="s">
        <v>84</v>
      </c>
      <c r="E622" t="s">
        <v>85</v>
      </c>
      <c r="F622" t="s">
        <v>84</v>
      </c>
      <c r="G622" t="s">
        <v>51</v>
      </c>
      <c r="H622" s="8" t="s">
        <v>40</v>
      </c>
      <c r="I622" s="9">
        <v>36888.71</v>
      </c>
      <c r="J622" s="9">
        <v>20198.61</v>
      </c>
      <c r="K622" s="8" t="s">
        <v>74</v>
      </c>
      <c r="L622" s="10">
        <v>0</v>
      </c>
      <c r="M622" s="8" t="s">
        <v>75</v>
      </c>
      <c r="N622" s="9">
        <v>0</v>
      </c>
      <c r="O622" s="8" t="s">
        <v>30</v>
      </c>
      <c r="P622" t="str">
        <f>TEXT(Table1[[#This Row],[Transaction_Date]],"mmm")</f>
        <v>Oct</v>
      </c>
      <c r="Q622" s="11">
        <v>45937</v>
      </c>
      <c r="R622" s="8" t="s">
        <v>1542</v>
      </c>
      <c r="S622" s="8" t="s">
        <v>54</v>
      </c>
      <c r="T622" s="9">
        <v>2493.1999999999998</v>
      </c>
      <c r="U622" t="s">
        <v>77</v>
      </c>
      <c r="V622" s="8" t="s">
        <v>46</v>
      </c>
      <c r="W622"/>
      <c r="X622"/>
    </row>
    <row r="623" spans="1:24" x14ac:dyDescent="0.3">
      <c r="A623" t="s">
        <v>1543</v>
      </c>
      <c r="B623" t="s">
        <v>483</v>
      </c>
      <c r="C623">
        <v>51</v>
      </c>
      <c r="D623" t="s">
        <v>84</v>
      </c>
      <c r="E623" t="s">
        <v>85</v>
      </c>
      <c r="F623" t="s">
        <v>84</v>
      </c>
      <c r="G623" t="s">
        <v>39</v>
      </c>
      <c r="H623" s="8" t="s">
        <v>27</v>
      </c>
      <c r="I623" s="9">
        <v>31132.67</v>
      </c>
      <c r="J623" s="9">
        <v>4779.46</v>
      </c>
      <c r="K623" s="8" t="s">
        <v>59</v>
      </c>
      <c r="L623" s="10">
        <v>45584.75</v>
      </c>
      <c r="M623" s="8" t="s">
        <v>29</v>
      </c>
      <c r="N623" s="9">
        <v>12731.52</v>
      </c>
      <c r="O623" s="8" t="s">
        <v>30</v>
      </c>
      <c r="P623" t="str">
        <f>TEXT(Table1[[#This Row],[Transaction_Date]],"mmm")</f>
        <v>Mar</v>
      </c>
      <c r="Q623" s="11">
        <v>45744</v>
      </c>
      <c r="R623" s="8" t="s">
        <v>1544</v>
      </c>
      <c r="S623" s="8" t="s">
        <v>54</v>
      </c>
      <c r="T623" s="9">
        <v>14781.47</v>
      </c>
      <c r="U623" t="s">
        <v>77</v>
      </c>
      <c r="V623" s="8" t="s">
        <v>62</v>
      </c>
      <c r="W623"/>
      <c r="X623"/>
    </row>
    <row r="624" spans="1:24" hidden="1" x14ac:dyDescent="0.3">
      <c r="A624" t="s">
        <v>1545</v>
      </c>
      <c r="B624" t="s">
        <v>1423</v>
      </c>
      <c r="C624">
        <v>43</v>
      </c>
      <c r="D624" t="s">
        <v>92</v>
      </c>
      <c r="E624" t="s">
        <v>93</v>
      </c>
      <c r="F624" t="s">
        <v>92</v>
      </c>
      <c r="G624" t="s">
        <v>26</v>
      </c>
      <c r="H624" s="8" t="s">
        <v>40</v>
      </c>
      <c r="I624" s="9">
        <v>87890.67</v>
      </c>
      <c r="J624" s="9">
        <v>27729.09</v>
      </c>
      <c r="K624" s="8" t="s">
        <v>74</v>
      </c>
      <c r="L624" s="10">
        <v>0</v>
      </c>
      <c r="M624" s="8" t="s">
        <v>75</v>
      </c>
      <c r="N624" s="9">
        <v>0</v>
      </c>
      <c r="O624" s="8" t="s">
        <v>30</v>
      </c>
      <c r="P624" t="str">
        <f>TEXT(Table1[[#This Row],[Transaction_Date]],"mmm")</f>
        <v>Sep</v>
      </c>
      <c r="Q624" s="11">
        <v>45920</v>
      </c>
      <c r="R624" s="8" t="s">
        <v>1546</v>
      </c>
      <c r="S624" s="8" t="s">
        <v>44</v>
      </c>
      <c r="T624" s="9">
        <v>8009.07</v>
      </c>
      <c r="U624" t="s">
        <v>61</v>
      </c>
      <c r="V624" s="8" t="s">
        <v>62</v>
      </c>
      <c r="W624"/>
      <c r="X624"/>
    </row>
    <row r="625" spans="1:24" hidden="1" x14ac:dyDescent="0.3">
      <c r="A625" t="s">
        <v>1547</v>
      </c>
      <c r="B625" t="s">
        <v>179</v>
      </c>
      <c r="C625">
        <v>75</v>
      </c>
      <c r="D625" t="s">
        <v>24</v>
      </c>
      <c r="E625" t="s">
        <v>25</v>
      </c>
      <c r="F625" t="s">
        <v>24</v>
      </c>
      <c r="G625" t="s">
        <v>51</v>
      </c>
      <c r="H625" s="8" t="s">
        <v>40</v>
      </c>
      <c r="I625" s="9">
        <v>83581.88</v>
      </c>
      <c r="J625" s="9">
        <v>29653.96</v>
      </c>
      <c r="K625" s="8" t="s">
        <v>41</v>
      </c>
      <c r="L625" s="10">
        <v>31401.77</v>
      </c>
      <c r="M625" s="8" t="s">
        <v>29</v>
      </c>
      <c r="N625" s="9">
        <v>13473.97</v>
      </c>
      <c r="O625" s="8" t="s">
        <v>30</v>
      </c>
      <c r="P625" t="str">
        <f>TEXT(Table1[[#This Row],[Transaction_Date]],"mmm")</f>
        <v>Feb</v>
      </c>
      <c r="Q625" s="11">
        <v>45701</v>
      </c>
      <c r="R625" s="8" t="s">
        <v>1548</v>
      </c>
      <c r="S625" s="8" t="s">
        <v>54</v>
      </c>
      <c r="T625" s="9">
        <v>1717.49</v>
      </c>
      <c r="U625" t="s">
        <v>106</v>
      </c>
      <c r="V625" s="8" t="s">
        <v>46</v>
      </c>
      <c r="W625"/>
      <c r="X625"/>
    </row>
    <row r="626" spans="1:24" x14ac:dyDescent="0.3">
      <c r="A626" t="s">
        <v>1549</v>
      </c>
      <c r="B626" t="s">
        <v>387</v>
      </c>
      <c r="C626">
        <v>50</v>
      </c>
      <c r="D626" t="s">
        <v>92</v>
      </c>
      <c r="E626" t="s">
        <v>93</v>
      </c>
      <c r="F626" t="s">
        <v>92</v>
      </c>
      <c r="G626" t="s">
        <v>39</v>
      </c>
      <c r="H626" s="8" t="s">
        <v>40</v>
      </c>
      <c r="I626" s="9">
        <v>55289.97</v>
      </c>
      <c r="J626" s="9">
        <v>71142.14</v>
      </c>
      <c r="K626" s="8" t="s">
        <v>74</v>
      </c>
      <c r="L626" s="10">
        <v>0</v>
      </c>
      <c r="M626" s="8" t="s">
        <v>75</v>
      </c>
      <c r="N626" s="9">
        <v>0</v>
      </c>
      <c r="O626" s="8" t="s">
        <v>30</v>
      </c>
      <c r="P626" t="str">
        <f>TEXT(Table1[[#This Row],[Transaction_Date]],"mmm")</f>
        <v>Feb</v>
      </c>
      <c r="Q626" s="11">
        <v>45707</v>
      </c>
      <c r="R626" s="8" t="s">
        <v>1550</v>
      </c>
      <c r="S626" s="8" t="s">
        <v>44</v>
      </c>
      <c r="T626" s="9">
        <v>1243.79</v>
      </c>
      <c r="U626" t="s">
        <v>71</v>
      </c>
      <c r="V626" s="8" t="s">
        <v>62</v>
      </c>
      <c r="W626"/>
      <c r="X626"/>
    </row>
    <row r="627" spans="1:24" x14ac:dyDescent="0.3">
      <c r="A627" t="s">
        <v>1551</v>
      </c>
      <c r="B627" t="s">
        <v>96</v>
      </c>
      <c r="C627">
        <v>37</v>
      </c>
      <c r="D627" t="s">
        <v>84</v>
      </c>
      <c r="E627" t="s">
        <v>85</v>
      </c>
      <c r="F627" t="s">
        <v>84</v>
      </c>
      <c r="G627" t="s">
        <v>39</v>
      </c>
      <c r="H627" s="8" t="s">
        <v>40</v>
      </c>
      <c r="I627" s="9">
        <v>53605.42</v>
      </c>
      <c r="J627" s="9">
        <v>37672.300000000003</v>
      </c>
      <c r="K627" s="8" t="s">
        <v>74</v>
      </c>
      <c r="L627" s="10">
        <v>0</v>
      </c>
      <c r="M627" s="8" t="s">
        <v>75</v>
      </c>
      <c r="N627" s="9">
        <v>0</v>
      </c>
      <c r="O627" s="8" t="s">
        <v>30</v>
      </c>
      <c r="P627" t="str">
        <f>TEXT(Table1[[#This Row],[Transaction_Date]],"mmm")</f>
        <v>Nov</v>
      </c>
      <c r="Q627" s="11">
        <v>45963</v>
      </c>
      <c r="R627" s="8" t="s">
        <v>1552</v>
      </c>
      <c r="S627" s="8" t="s">
        <v>32</v>
      </c>
      <c r="T627" s="9">
        <v>3381.64</v>
      </c>
      <c r="U627" t="s">
        <v>71</v>
      </c>
      <c r="V627" s="8" t="s">
        <v>62</v>
      </c>
      <c r="W627"/>
      <c r="X627"/>
    </row>
    <row r="628" spans="1:24" x14ac:dyDescent="0.3">
      <c r="A628" t="s">
        <v>1553</v>
      </c>
      <c r="B628" t="s">
        <v>197</v>
      </c>
      <c r="C628">
        <v>35</v>
      </c>
      <c r="D628" t="s">
        <v>49</v>
      </c>
      <c r="E628" t="s">
        <v>50</v>
      </c>
      <c r="F628" t="s">
        <v>49</v>
      </c>
      <c r="G628" t="s">
        <v>39</v>
      </c>
      <c r="H628" s="8" t="s">
        <v>40</v>
      </c>
      <c r="I628" s="9">
        <v>42397.9</v>
      </c>
      <c r="J628" s="9">
        <v>11614.51</v>
      </c>
      <c r="K628" s="8" t="s">
        <v>74</v>
      </c>
      <c r="L628" s="10">
        <v>0</v>
      </c>
      <c r="M628" s="8" t="s">
        <v>75</v>
      </c>
      <c r="N628" s="9">
        <v>0</v>
      </c>
      <c r="O628" s="8" t="s">
        <v>30</v>
      </c>
      <c r="P628" t="str">
        <f>TEXT(Table1[[#This Row],[Transaction_Date]],"mmm")</f>
        <v>Mar</v>
      </c>
      <c r="Q628" s="11">
        <v>45743</v>
      </c>
      <c r="R628" s="8" t="s">
        <v>1554</v>
      </c>
      <c r="S628" s="8" t="s">
        <v>32</v>
      </c>
      <c r="T628" s="9">
        <v>6375.34</v>
      </c>
      <c r="U628" t="s">
        <v>106</v>
      </c>
      <c r="V628" s="8" t="s">
        <v>62</v>
      </c>
      <c r="W628"/>
      <c r="X628"/>
    </row>
    <row r="629" spans="1:24" hidden="1" x14ac:dyDescent="0.3">
      <c r="A629" t="s">
        <v>1555</v>
      </c>
      <c r="B629" t="s">
        <v>478</v>
      </c>
      <c r="C629">
        <v>24</v>
      </c>
      <c r="D629" t="s">
        <v>97</v>
      </c>
      <c r="E629" t="s">
        <v>98</v>
      </c>
      <c r="F629" t="s">
        <v>97</v>
      </c>
      <c r="G629" t="s">
        <v>26</v>
      </c>
      <c r="H629" s="8" t="s">
        <v>40</v>
      </c>
      <c r="I629" s="9">
        <v>50280.17</v>
      </c>
      <c r="J629" s="9">
        <v>24341.59</v>
      </c>
      <c r="K629" s="8" t="s">
        <v>68</v>
      </c>
      <c r="L629" s="10">
        <v>25000</v>
      </c>
      <c r="M629" s="8" t="s">
        <v>29</v>
      </c>
      <c r="N629" s="9">
        <v>10097.39</v>
      </c>
      <c r="O629" s="8" t="s">
        <v>30</v>
      </c>
      <c r="P629" t="str">
        <f>TEXT(Table1[[#This Row],[Transaction_Date]],"mmm")</f>
        <v>Oct</v>
      </c>
      <c r="Q629" s="11">
        <v>45957</v>
      </c>
      <c r="R629" s="8" t="s">
        <v>1556</v>
      </c>
      <c r="S629" s="8" t="s">
        <v>32</v>
      </c>
      <c r="T629" s="9">
        <v>12595.04</v>
      </c>
      <c r="U629" t="s">
        <v>106</v>
      </c>
      <c r="V629" s="8" t="s">
        <v>46</v>
      </c>
      <c r="W629"/>
      <c r="X629"/>
    </row>
    <row r="630" spans="1:24" hidden="1" x14ac:dyDescent="0.3">
      <c r="A630" t="s">
        <v>1557</v>
      </c>
      <c r="B630" t="s">
        <v>870</v>
      </c>
      <c r="C630">
        <v>34</v>
      </c>
      <c r="D630" t="s">
        <v>84</v>
      </c>
      <c r="E630" t="s">
        <v>85</v>
      </c>
      <c r="F630" t="s">
        <v>84</v>
      </c>
      <c r="G630" t="s">
        <v>80</v>
      </c>
      <c r="H630" s="8" t="s">
        <v>67</v>
      </c>
      <c r="I630" s="9">
        <v>12000</v>
      </c>
      <c r="J630" s="9">
        <v>22036.1</v>
      </c>
      <c r="K630" s="8" t="s">
        <v>52</v>
      </c>
      <c r="L630" s="10">
        <v>103003.59</v>
      </c>
      <c r="M630" s="8" t="s">
        <v>29</v>
      </c>
      <c r="N630" s="9">
        <v>85392.9</v>
      </c>
      <c r="O630" s="8" t="s">
        <v>30</v>
      </c>
      <c r="P630" t="str">
        <f>TEXT(Table1[[#This Row],[Transaction_Date]],"mmm")</f>
        <v>Mar</v>
      </c>
      <c r="Q630" s="11">
        <v>45737</v>
      </c>
      <c r="R630" s="8" t="s">
        <v>1558</v>
      </c>
      <c r="S630" s="8" t="s">
        <v>70</v>
      </c>
      <c r="T630" s="9">
        <v>1826.09</v>
      </c>
      <c r="U630" t="s">
        <v>45</v>
      </c>
      <c r="V630" s="8" t="s">
        <v>34</v>
      </c>
      <c r="W630"/>
      <c r="X630"/>
    </row>
    <row r="631" spans="1:24" hidden="1" x14ac:dyDescent="0.3">
      <c r="A631" t="s">
        <v>1559</v>
      </c>
      <c r="B631" t="s">
        <v>144</v>
      </c>
      <c r="C631">
        <v>33</v>
      </c>
      <c r="D631" t="s">
        <v>65</v>
      </c>
      <c r="E631" t="s">
        <v>66</v>
      </c>
      <c r="F631" t="s">
        <v>65</v>
      </c>
      <c r="G631" t="s">
        <v>26</v>
      </c>
      <c r="H631" s="8" t="s">
        <v>40</v>
      </c>
      <c r="I631" s="9">
        <v>77313.61</v>
      </c>
      <c r="J631" s="9">
        <v>79154.73</v>
      </c>
      <c r="K631" s="8" t="s">
        <v>68</v>
      </c>
      <c r="L631" s="10">
        <v>97625.95</v>
      </c>
      <c r="M631" s="8" t="s">
        <v>29</v>
      </c>
      <c r="N631" s="9">
        <v>22163.83</v>
      </c>
      <c r="O631" s="8" t="s">
        <v>228</v>
      </c>
      <c r="P631" t="str">
        <f>TEXT(Table1[[#This Row],[Transaction_Date]],"mmm")</f>
        <v>Jun</v>
      </c>
      <c r="Q631" s="11">
        <v>45822</v>
      </c>
      <c r="R631" s="8" t="s">
        <v>1560</v>
      </c>
      <c r="S631" s="8" t="s">
        <v>70</v>
      </c>
      <c r="T631" s="9">
        <v>9477.82</v>
      </c>
      <c r="U631" t="s">
        <v>106</v>
      </c>
      <c r="V631" s="8" t="s">
        <v>62</v>
      </c>
      <c r="W631"/>
      <c r="X631"/>
    </row>
    <row r="632" spans="1:24" x14ac:dyDescent="0.3">
      <c r="A632" t="s">
        <v>1561</v>
      </c>
      <c r="B632" t="s">
        <v>73</v>
      </c>
      <c r="C632">
        <v>30</v>
      </c>
      <c r="D632" t="s">
        <v>84</v>
      </c>
      <c r="E632" t="s">
        <v>85</v>
      </c>
      <c r="F632" t="s">
        <v>84</v>
      </c>
      <c r="G632" t="s">
        <v>39</v>
      </c>
      <c r="H632" s="8" t="s">
        <v>40</v>
      </c>
      <c r="I632" s="9">
        <v>57943.360000000001</v>
      </c>
      <c r="J632" s="9">
        <v>44476.11</v>
      </c>
      <c r="K632" s="8" t="s">
        <v>68</v>
      </c>
      <c r="L632" s="10">
        <v>92308.82</v>
      </c>
      <c r="M632" s="8" t="s">
        <v>29</v>
      </c>
      <c r="N632" s="9">
        <v>86726.07</v>
      </c>
      <c r="O632" s="8" t="s">
        <v>30</v>
      </c>
      <c r="P632" t="str">
        <f>TEXT(Table1[[#This Row],[Transaction_Date]],"mmm")</f>
        <v>Apr</v>
      </c>
      <c r="Q632" s="11">
        <v>45770</v>
      </c>
      <c r="R632" s="8" t="s">
        <v>1562</v>
      </c>
      <c r="S632" s="8" t="s">
        <v>44</v>
      </c>
      <c r="T632" s="9">
        <v>784.95</v>
      </c>
      <c r="U632" t="s">
        <v>33</v>
      </c>
      <c r="V632" s="8" t="s">
        <v>34</v>
      </c>
      <c r="W632"/>
      <c r="X632"/>
    </row>
    <row r="633" spans="1:24" hidden="1" x14ac:dyDescent="0.3">
      <c r="A633" t="s">
        <v>1563</v>
      </c>
      <c r="B633" t="s">
        <v>83</v>
      </c>
      <c r="C633">
        <v>19</v>
      </c>
      <c r="D633" t="s">
        <v>65</v>
      </c>
      <c r="E633" t="s">
        <v>66</v>
      </c>
      <c r="F633" t="s">
        <v>65</v>
      </c>
      <c r="G633" t="s">
        <v>80</v>
      </c>
      <c r="H633" s="8" t="s">
        <v>40</v>
      </c>
      <c r="I633" s="9">
        <v>61025.93</v>
      </c>
      <c r="J633" s="9">
        <v>70217.17</v>
      </c>
      <c r="K633" s="8" t="s">
        <v>59</v>
      </c>
      <c r="L633" s="10">
        <v>35489.79</v>
      </c>
      <c r="M633" s="8" t="s">
        <v>29</v>
      </c>
      <c r="N633" s="9">
        <v>7977.72</v>
      </c>
      <c r="O633" s="8" t="s">
        <v>30</v>
      </c>
      <c r="P633" t="str">
        <f>TEXT(Table1[[#This Row],[Transaction_Date]],"mmm")</f>
        <v>May</v>
      </c>
      <c r="Q633" s="11">
        <v>45794</v>
      </c>
      <c r="R633" s="8" t="s">
        <v>1564</v>
      </c>
      <c r="S633" s="8" t="s">
        <v>32</v>
      </c>
      <c r="T633" s="9">
        <v>1274.48</v>
      </c>
      <c r="U633" t="s">
        <v>106</v>
      </c>
      <c r="V633" s="8" t="s">
        <v>62</v>
      </c>
      <c r="W633"/>
      <c r="X633"/>
    </row>
    <row r="634" spans="1:24" hidden="1" x14ac:dyDescent="0.3">
      <c r="A634" t="s">
        <v>1565</v>
      </c>
      <c r="B634" t="s">
        <v>597</v>
      </c>
      <c r="C634">
        <v>39</v>
      </c>
      <c r="D634" t="s">
        <v>24</v>
      </c>
      <c r="E634" t="s">
        <v>25</v>
      </c>
      <c r="F634" t="s">
        <v>24</v>
      </c>
      <c r="G634" t="s">
        <v>26</v>
      </c>
      <c r="H634" s="8" t="s">
        <v>67</v>
      </c>
      <c r="I634" s="9">
        <v>12000</v>
      </c>
      <c r="J634" s="9">
        <v>44479.16</v>
      </c>
      <c r="K634" s="8" t="s">
        <v>59</v>
      </c>
      <c r="L634" s="10">
        <v>58379.519999999997</v>
      </c>
      <c r="M634" s="8" t="s">
        <v>29</v>
      </c>
      <c r="N634" s="9">
        <v>30467.86</v>
      </c>
      <c r="O634" s="8" t="s">
        <v>30</v>
      </c>
      <c r="P634" t="str">
        <f>TEXT(Table1[[#This Row],[Transaction_Date]],"mmm")</f>
        <v>May</v>
      </c>
      <c r="Q634" s="11">
        <v>45792</v>
      </c>
      <c r="R634" s="8" t="s">
        <v>1566</v>
      </c>
      <c r="S634" s="8" t="s">
        <v>70</v>
      </c>
      <c r="T634" s="9">
        <v>4783.29</v>
      </c>
      <c r="U634" t="s">
        <v>45</v>
      </c>
      <c r="V634" s="8" t="s">
        <v>62</v>
      </c>
      <c r="W634"/>
      <c r="X634"/>
    </row>
    <row r="635" spans="1:24" hidden="1" x14ac:dyDescent="0.3">
      <c r="A635" t="s">
        <v>1567</v>
      </c>
      <c r="B635" t="s">
        <v>396</v>
      </c>
      <c r="C635">
        <v>47</v>
      </c>
      <c r="D635" t="s">
        <v>49</v>
      </c>
      <c r="E635" t="s">
        <v>50</v>
      </c>
      <c r="F635" t="s">
        <v>49</v>
      </c>
      <c r="G635" t="s">
        <v>80</v>
      </c>
      <c r="H635" s="8" t="s">
        <v>67</v>
      </c>
      <c r="I635" s="9">
        <v>12000</v>
      </c>
      <c r="J635" s="9">
        <v>13631.13</v>
      </c>
      <c r="K635" s="8" t="s">
        <v>59</v>
      </c>
      <c r="L635" s="10">
        <v>60486.79</v>
      </c>
      <c r="M635" s="8" t="s">
        <v>29</v>
      </c>
      <c r="N635" s="9">
        <v>44830.720000000001</v>
      </c>
      <c r="O635" s="8" t="s">
        <v>30</v>
      </c>
      <c r="P635" t="str">
        <f>TEXT(Table1[[#This Row],[Transaction_Date]],"mmm")</f>
        <v>Sep</v>
      </c>
      <c r="Q635" s="11">
        <v>45903</v>
      </c>
      <c r="R635" s="8" t="s">
        <v>1568</v>
      </c>
      <c r="S635" s="8" t="s">
        <v>54</v>
      </c>
      <c r="T635" s="9">
        <v>18111.87</v>
      </c>
      <c r="U635" t="s">
        <v>71</v>
      </c>
      <c r="V635" s="8" t="s">
        <v>62</v>
      </c>
      <c r="W635"/>
      <c r="X635"/>
    </row>
    <row r="636" spans="1:24" hidden="1" x14ac:dyDescent="0.3">
      <c r="A636" t="s">
        <v>1569</v>
      </c>
      <c r="B636" t="s">
        <v>643</v>
      </c>
      <c r="C636">
        <v>37</v>
      </c>
      <c r="D636" t="s">
        <v>97</v>
      </c>
      <c r="E636" t="s">
        <v>98</v>
      </c>
      <c r="F636" t="s">
        <v>97</v>
      </c>
      <c r="G636" t="s">
        <v>80</v>
      </c>
      <c r="H636" s="8" t="s">
        <v>27</v>
      </c>
      <c r="I636" s="9">
        <v>88864.21</v>
      </c>
      <c r="J636" s="9">
        <v>43618.16</v>
      </c>
      <c r="K636" s="8" t="s">
        <v>68</v>
      </c>
      <c r="L636" s="10">
        <v>81876.87</v>
      </c>
      <c r="M636" s="8" t="s">
        <v>29</v>
      </c>
      <c r="N636" s="9">
        <v>23642.68</v>
      </c>
      <c r="O636" s="8" t="s">
        <v>228</v>
      </c>
      <c r="P636" t="str">
        <f>TEXT(Table1[[#This Row],[Transaction_Date]],"mmm")</f>
        <v>Mar</v>
      </c>
      <c r="Q636" s="11">
        <v>45736</v>
      </c>
      <c r="R636" s="8" t="s">
        <v>1570</v>
      </c>
      <c r="S636" s="8" t="s">
        <v>32</v>
      </c>
      <c r="T636" s="9">
        <v>1269</v>
      </c>
      <c r="U636" t="s">
        <v>61</v>
      </c>
      <c r="V636" s="8" t="s">
        <v>62</v>
      </c>
      <c r="W636"/>
      <c r="X636"/>
    </row>
    <row r="637" spans="1:24" hidden="1" x14ac:dyDescent="0.3">
      <c r="A637" t="s">
        <v>1571</v>
      </c>
      <c r="B637" t="s">
        <v>914</v>
      </c>
      <c r="C637">
        <v>44</v>
      </c>
      <c r="D637" t="s">
        <v>84</v>
      </c>
      <c r="E637" t="s">
        <v>85</v>
      </c>
      <c r="F637" t="s">
        <v>84</v>
      </c>
      <c r="G637" t="s">
        <v>26</v>
      </c>
      <c r="H637" s="8" t="s">
        <v>40</v>
      </c>
      <c r="I637" s="9">
        <v>59254.94</v>
      </c>
      <c r="J637" s="9">
        <v>37278.97</v>
      </c>
      <c r="K637" s="8" t="s">
        <v>52</v>
      </c>
      <c r="L637" s="10">
        <v>62615.55</v>
      </c>
      <c r="M637" s="8" t="s">
        <v>29</v>
      </c>
      <c r="N637" s="9">
        <v>39477.300000000003</v>
      </c>
      <c r="O637" s="8" t="s">
        <v>30</v>
      </c>
      <c r="P637" t="str">
        <f>TEXT(Table1[[#This Row],[Transaction_Date]],"mmm")</f>
        <v>May</v>
      </c>
      <c r="Q637" s="11">
        <v>45806</v>
      </c>
      <c r="R637" s="8" t="s">
        <v>1572</v>
      </c>
      <c r="S637" s="8" t="s">
        <v>54</v>
      </c>
      <c r="T637" s="9">
        <v>618.30999999999995</v>
      </c>
      <c r="U637" t="s">
        <v>61</v>
      </c>
      <c r="V637" s="8" t="s">
        <v>62</v>
      </c>
      <c r="W637"/>
      <c r="X637"/>
    </row>
    <row r="638" spans="1:24" hidden="1" x14ac:dyDescent="0.3">
      <c r="A638" t="s">
        <v>1573</v>
      </c>
      <c r="B638" t="s">
        <v>587</v>
      </c>
      <c r="C638">
        <v>46</v>
      </c>
      <c r="D638" t="s">
        <v>49</v>
      </c>
      <c r="E638" t="s">
        <v>50</v>
      </c>
      <c r="F638" t="s">
        <v>49</v>
      </c>
      <c r="G638" t="s">
        <v>51</v>
      </c>
      <c r="H638" s="8" t="s">
        <v>51</v>
      </c>
      <c r="I638" s="9">
        <v>84243.24</v>
      </c>
      <c r="J638" s="9">
        <v>47539.14</v>
      </c>
      <c r="K638" s="8" t="s">
        <v>74</v>
      </c>
      <c r="L638" s="10">
        <v>0</v>
      </c>
      <c r="M638" s="8" t="s">
        <v>75</v>
      </c>
      <c r="N638" s="9">
        <v>0</v>
      </c>
      <c r="O638" s="8" t="s">
        <v>30</v>
      </c>
      <c r="P638" t="str">
        <f>TEXT(Table1[[#This Row],[Transaction_Date]],"mmm")</f>
        <v>Feb</v>
      </c>
      <c r="Q638" s="11">
        <v>45694</v>
      </c>
      <c r="R638" s="8" t="s">
        <v>1574</v>
      </c>
      <c r="S638" s="8" t="s">
        <v>54</v>
      </c>
      <c r="T638" s="9">
        <v>4821.22</v>
      </c>
      <c r="U638" t="s">
        <v>106</v>
      </c>
      <c r="V638" s="8" t="s">
        <v>62</v>
      </c>
      <c r="W638"/>
      <c r="X638"/>
    </row>
    <row r="639" spans="1:24" hidden="1" x14ac:dyDescent="0.3">
      <c r="A639" t="s">
        <v>1575</v>
      </c>
      <c r="B639" t="s">
        <v>460</v>
      </c>
      <c r="C639">
        <v>18</v>
      </c>
      <c r="D639" t="s">
        <v>49</v>
      </c>
      <c r="E639" t="s">
        <v>50</v>
      </c>
      <c r="F639" t="s">
        <v>49</v>
      </c>
      <c r="G639" t="s">
        <v>26</v>
      </c>
      <c r="H639" s="8" t="s">
        <v>40</v>
      </c>
      <c r="I639" s="9">
        <v>92907.64</v>
      </c>
      <c r="J639" s="9">
        <v>34281.81</v>
      </c>
      <c r="K639" s="8" t="s">
        <v>28</v>
      </c>
      <c r="L639" s="10">
        <v>204728.99</v>
      </c>
      <c r="M639" s="8" t="s">
        <v>29</v>
      </c>
      <c r="N639" s="9">
        <v>184688.02</v>
      </c>
      <c r="O639" s="8" t="s">
        <v>30</v>
      </c>
      <c r="P639" t="str">
        <f>TEXT(Table1[[#This Row],[Transaction_Date]],"mmm")</f>
        <v>Mar</v>
      </c>
      <c r="Q639" s="11">
        <v>45737</v>
      </c>
      <c r="R639" s="8" t="s">
        <v>1576</v>
      </c>
      <c r="S639" s="8" t="s">
        <v>44</v>
      </c>
      <c r="T639" s="9">
        <v>392.24</v>
      </c>
      <c r="U639" t="s">
        <v>61</v>
      </c>
      <c r="V639" s="8" t="s">
        <v>62</v>
      </c>
      <c r="W639"/>
      <c r="X639"/>
    </row>
    <row r="640" spans="1:24" hidden="1" x14ac:dyDescent="0.3">
      <c r="A640" t="s">
        <v>1577</v>
      </c>
      <c r="B640" t="s">
        <v>1316</v>
      </c>
      <c r="C640">
        <v>49</v>
      </c>
      <c r="D640" t="s">
        <v>84</v>
      </c>
      <c r="E640" t="s">
        <v>85</v>
      </c>
      <c r="F640" t="s">
        <v>84</v>
      </c>
      <c r="G640" t="s">
        <v>80</v>
      </c>
      <c r="H640" s="8" t="s">
        <v>40</v>
      </c>
      <c r="I640" s="9">
        <v>64063.61</v>
      </c>
      <c r="J640" s="9">
        <v>51261.72</v>
      </c>
      <c r="K640" s="8" t="s">
        <v>68</v>
      </c>
      <c r="L640" s="10">
        <v>94947.44</v>
      </c>
      <c r="M640" s="8" t="s">
        <v>29</v>
      </c>
      <c r="N640" s="9">
        <v>52712.65</v>
      </c>
      <c r="O640" s="8" t="s">
        <v>30</v>
      </c>
      <c r="P640" t="str">
        <f>TEXT(Table1[[#This Row],[Transaction_Date]],"mmm")</f>
        <v>May</v>
      </c>
      <c r="Q640" s="11">
        <v>45779</v>
      </c>
      <c r="R640" s="8" t="s">
        <v>1578</v>
      </c>
      <c r="S640" s="8" t="s">
        <v>32</v>
      </c>
      <c r="T640" s="9">
        <v>6181.45</v>
      </c>
      <c r="U640" t="s">
        <v>77</v>
      </c>
      <c r="V640" s="8" t="s">
        <v>34</v>
      </c>
      <c r="W640"/>
      <c r="X640"/>
    </row>
    <row r="641" spans="1:24" x14ac:dyDescent="0.3">
      <c r="A641" t="s">
        <v>1579</v>
      </c>
      <c r="B641" t="s">
        <v>390</v>
      </c>
      <c r="C641">
        <v>33</v>
      </c>
      <c r="D641" t="s">
        <v>92</v>
      </c>
      <c r="E641" t="s">
        <v>93</v>
      </c>
      <c r="F641" t="s">
        <v>92</v>
      </c>
      <c r="G641" t="s">
        <v>39</v>
      </c>
      <c r="H641" s="8" t="s">
        <v>27</v>
      </c>
      <c r="I641" s="9">
        <v>47042.080000000002</v>
      </c>
      <c r="J641" s="9">
        <v>19520.86</v>
      </c>
      <c r="K641" s="8" t="s">
        <v>74</v>
      </c>
      <c r="L641" s="10">
        <v>0</v>
      </c>
      <c r="M641" s="8" t="s">
        <v>75</v>
      </c>
      <c r="N641" s="9">
        <v>0</v>
      </c>
      <c r="O641" s="8" t="s">
        <v>30</v>
      </c>
      <c r="P641" t="str">
        <f>TEXT(Table1[[#This Row],[Transaction_Date]],"mmm")</f>
        <v>Jan</v>
      </c>
      <c r="Q641" s="11">
        <v>45672</v>
      </c>
      <c r="R641" s="8" t="s">
        <v>1580</v>
      </c>
      <c r="S641" s="8" t="s">
        <v>44</v>
      </c>
      <c r="T641" s="9">
        <v>5181.1499999999996</v>
      </c>
      <c r="U641" t="s">
        <v>475</v>
      </c>
      <c r="V641" s="8" t="s">
        <v>62</v>
      </c>
      <c r="W641"/>
      <c r="X641"/>
    </row>
    <row r="642" spans="1:24" x14ac:dyDescent="0.3">
      <c r="A642" t="s">
        <v>1581</v>
      </c>
      <c r="B642" t="s">
        <v>1466</v>
      </c>
      <c r="C642">
        <v>33</v>
      </c>
      <c r="D642" t="s">
        <v>49</v>
      </c>
      <c r="E642" t="s">
        <v>50</v>
      </c>
      <c r="F642" t="s">
        <v>49</v>
      </c>
      <c r="G642" t="s">
        <v>39</v>
      </c>
      <c r="H642" s="8" t="s">
        <v>51</v>
      </c>
      <c r="I642" s="9">
        <v>70674.490000000005</v>
      </c>
      <c r="J642" s="9">
        <v>56556.71</v>
      </c>
      <c r="K642" s="8" t="s">
        <v>41</v>
      </c>
      <c r="L642" s="10">
        <v>97230.39</v>
      </c>
      <c r="M642" s="8" t="s">
        <v>42</v>
      </c>
      <c r="N642" s="9">
        <v>0</v>
      </c>
      <c r="O642" s="8" t="s">
        <v>30</v>
      </c>
      <c r="P642" t="str">
        <f>TEXT(Table1[[#This Row],[Transaction_Date]],"mmm")</f>
        <v>Jul</v>
      </c>
      <c r="Q642" s="11">
        <v>45867</v>
      </c>
      <c r="R642" s="8" t="s">
        <v>1582</v>
      </c>
      <c r="S642" s="8" t="s">
        <v>54</v>
      </c>
      <c r="T642" s="9">
        <v>690.24</v>
      </c>
      <c r="U642" t="s">
        <v>106</v>
      </c>
      <c r="V642" s="8" t="s">
        <v>62</v>
      </c>
      <c r="W642"/>
      <c r="X642"/>
    </row>
    <row r="643" spans="1:24" hidden="1" x14ac:dyDescent="0.3">
      <c r="A643" t="s">
        <v>1583</v>
      </c>
      <c r="B643" t="s">
        <v>643</v>
      </c>
      <c r="C643">
        <v>47</v>
      </c>
      <c r="D643" t="s">
        <v>65</v>
      </c>
      <c r="E643" t="s">
        <v>66</v>
      </c>
      <c r="F643" t="s">
        <v>65</v>
      </c>
      <c r="G643" t="s">
        <v>51</v>
      </c>
      <c r="H643" s="8" t="s">
        <v>27</v>
      </c>
      <c r="I643" s="9">
        <v>51679.040000000001</v>
      </c>
      <c r="J643" s="9">
        <v>32750.19</v>
      </c>
      <c r="K643" s="8" t="s">
        <v>59</v>
      </c>
      <c r="L643" s="10">
        <v>31655.64</v>
      </c>
      <c r="M643" s="8" t="s">
        <v>29</v>
      </c>
      <c r="N643" s="9">
        <v>28023.22</v>
      </c>
      <c r="O643" s="8" t="s">
        <v>30</v>
      </c>
      <c r="P643" t="str">
        <f>TEXT(Table1[[#This Row],[Transaction_Date]],"mmm")</f>
        <v>Sep</v>
      </c>
      <c r="Q643" s="11">
        <v>45906</v>
      </c>
      <c r="R643" s="8" t="s">
        <v>1584</v>
      </c>
      <c r="S643" s="8" t="s">
        <v>70</v>
      </c>
      <c r="T643" s="9">
        <v>1064.9000000000001</v>
      </c>
      <c r="U643" t="s">
        <v>71</v>
      </c>
      <c r="V643" s="8" t="s">
        <v>62</v>
      </c>
      <c r="W643"/>
      <c r="X643"/>
    </row>
    <row r="644" spans="1:24" hidden="1" x14ac:dyDescent="0.3">
      <c r="A644" t="s">
        <v>1585</v>
      </c>
      <c r="B644" t="s">
        <v>904</v>
      </c>
      <c r="C644">
        <v>56</v>
      </c>
      <c r="D644" t="s">
        <v>24</v>
      </c>
      <c r="E644" t="s">
        <v>25</v>
      </c>
      <c r="F644" t="s">
        <v>24</v>
      </c>
      <c r="G644" t="s">
        <v>80</v>
      </c>
      <c r="H644" s="8" t="s">
        <v>40</v>
      </c>
      <c r="I644" s="9">
        <v>23212.26</v>
      </c>
      <c r="J644" s="9">
        <v>35697.08</v>
      </c>
      <c r="K644" s="8" t="s">
        <v>74</v>
      </c>
      <c r="L644" s="10">
        <v>0</v>
      </c>
      <c r="M644" s="8" t="s">
        <v>75</v>
      </c>
      <c r="N644" s="9">
        <v>0</v>
      </c>
      <c r="O644" s="8" t="s">
        <v>30</v>
      </c>
      <c r="P644" t="str">
        <f>TEXT(Table1[[#This Row],[Transaction_Date]],"mmm")</f>
        <v>May</v>
      </c>
      <c r="Q644" s="11">
        <v>45791</v>
      </c>
      <c r="R644" s="8" t="s">
        <v>1586</v>
      </c>
      <c r="S644" s="8" t="s">
        <v>32</v>
      </c>
      <c r="T644" s="9">
        <v>3918.56</v>
      </c>
      <c r="U644" t="s">
        <v>33</v>
      </c>
      <c r="V644" s="8" t="s">
        <v>62</v>
      </c>
      <c r="W644"/>
      <c r="X644"/>
    </row>
    <row r="645" spans="1:24" hidden="1" x14ac:dyDescent="0.3">
      <c r="A645" t="s">
        <v>1587</v>
      </c>
      <c r="B645" t="s">
        <v>460</v>
      </c>
      <c r="C645">
        <v>56</v>
      </c>
      <c r="D645" t="s">
        <v>24</v>
      </c>
      <c r="E645" t="s">
        <v>25</v>
      </c>
      <c r="F645" t="s">
        <v>24</v>
      </c>
      <c r="G645" t="s">
        <v>80</v>
      </c>
      <c r="H645" s="8" t="s">
        <v>51</v>
      </c>
      <c r="I645" s="9">
        <v>49747.44</v>
      </c>
      <c r="J645" s="9">
        <v>8467.06</v>
      </c>
      <c r="K645" s="8" t="s">
        <v>59</v>
      </c>
      <c r="L645" s="10">
        <v>157029.14000000001</v>
      </c>
      <c r="M645" s="8" t="s">
        <v>42</v>
      </c>
      <c r="N645" s="9">
        <v>0</v>
      </c>
      <c r="O645" s="8" t="s">
        <v>30</v>
      </c>
      <c r="P645" t="str">
        <f>TEXT(Table1[[#This Row],[Transaction_Date]],"mmm")</f>
        <v>Jan</v>
      </c>
      <c r="Q645" s="11">
        <v>45676</v>
      </c>
      <c r="R645" s="8" t="s">
        <v>1588</v>
      </c>
      <c r="S645" s="8" t="s">
        <v>44</v>
      </c>
      <c r="T645" s="9">
        <v>2534.06</v>
      </c>
      <c r="U645" t="s">
        <v>71</v>
      </c>
      <c r="V645" s="8" t="s">
        <v>34</v>
      </c>
      <c r="W645"/>
      <c r="X645"/>
    </row>
    <row r="646" spans="1:24" x14ac:dyDescent="0.3">
      <c r="A646" t="s">
        <v>1589</v>
      </c>
      <c r="B646" t="s">
        <v>879</v>
      </c>
      <c r="C646">
        <v>18</v>
      </c>
      <c r="D646" t="s">
        <v>57</v>
      </c>
      <c r="E646" t="s">
        <v>58</v>
      </c>
      <c r="F646" t="s">
        <v>57</v>
      </c>
      <c r="G646" t="s">
        <v>39</v>
      </c>
      <c r="H646" s="8" t="s">
        <v>40</v>
      </c>
      <c r="I646" s="9">
        <v>68194.53</v>
      </c>
      <c r="J646" s="9">
        <v>40284.019999999997</v>
      </c>
      <c r="K646" s="8" t="s">
        <v>59</v>
      </c>
      <c r="L646" s="10">
        <v>65107.67</v>
      </c>
      <c r="M646" s="8" t="s">
        <v>29</v>
      </c>
      <c r="N646" s="9">
        <v>57267.519999999997</v>
      </c>
      <c r="O646" s="8" t="s">
        <v>30</v>
      </c>
      <c r="P646" t="str">
        <f>TEXT(Table1[[#This Row],[Transaction_Date]],"mmm")</f>
        <v>Jan</v>
      </c>
      <c r="Q646" s="11">
        <v>45671</v>
      </c>
      <c r="R646" s="8" t="s">
        <v>1590</v>
      </c>
      <c r="S646" s="8" t="s">
        <v>32</v>
      </c>
      <c r="T646" s="9">
        <v>1828.67</v>
      </c>
      <c r="U646" t="s">
        <v>71</v>
      </c>
      <c r="V646" s="8" t="s">
        <v>62</v>
      </c>
      <c r="W646"/>
      <c r="X646"/>
    </row>
    <row r="647" spans="1:24" hidden="1" x14ac:dyDescent="0.3">
      <c r="A647" t="s">
        <v>1591</v>
      </c>
      <c r="B647" t="s">
        <v>1233</v>
      </c>
      <c r="C647">
        <v>44</v>
      </c>
      <c r="D647" t="s">
        <v>37</v>
      </c>
      <c r="E647" t="s">
        <v>38</v>
      </c>
      <c r="F647" t="s">
        <v>37</v>
      </c>
      <c r="G647" t="s">
        <v>26</v>
      </c>
      <c r="H647" s="8" t="s">
        <v>40</v>
      </c>
      <c r="I647" s="9">
        <v>51240.63</v>
      </c>
      <c r="J647" s="9">
        <v>33803.599999999999</v>
      </c>
      <c r="K647" s="8" t="s">
        <v>74</v>
      </c>
      <c r="L647" s="10">
        <v>0</v>
      </c>
      <c r="M647" s="8" t="s">
        <v>75</v>
      </c>
      <c r="N647" s="9">
        <v>0</v>
      </c>
      <c r="O647" s="8" t="s">
        <v>30</v>
      </c>
      <c r="P647" t="str">
        <f>TEXT(Table1[[#This Row],[Transaction_Date]],"mmm")</f>
        <v>Mar</v>
      </c>
      <c r="Q647" s="11">
        <v>45740</v>
      </c>
      <c r="R647" s="8" t="s">
        <v>1592</v>
      </c>
      <c r="S647" s="8" t="s">
        <v>32</v>
      </c>
      <c r="T647" s="9">
        <v>3259.53</v>
      </c>
      <c r="U647" t="s">
        <v>106</v>
      </c>
      <c r="V647" s="8" t="s">
        <v>62</v>
      </c>
      <c r="W647"/>
      <c r="X647"/>
    </row>
    <row r="648" spans="1:24" hidden="1" x14ac:dyDescent="0.3">
      <c r="A648" t="s">
        <v>1593</v>
      </c>
      <c r="B648" t="s">
        <v>530</v>
      </c>
      <c r="C648">
        <v>41</v>
      </c>
      <c r="D648" t="s">
        <v>97</v>
      </c>
      <c r="E648" t="s">
        <v>98</v>
      </c>
      <c r="F648" t="s">
        <v>97</v>
      </c>
      <c r="G648" t="s">
        <v>26</v>
      </c>
      <c r="H648" s="8" t="s">
        <v>40</v>
      </c>
      <c r="I648" s="9">
        <v>49713.38</v>
      </c>
      <c r="J648" s="9">
        <v>18118.669999999998</v>
      </c>
      <c r="K648" s="8" t="s">
        <v>59</v>
      </c>
      <c r="L648" s="10">
        <v>34141.54</v>
      </c>
      <c r="M648" s="8" t="s">
        <v>29</v>
      </c>
      <c r="N648" s="9">
        <v>30112.09</v>
      </c>
      <c r="O648" s="8" t="s">
        <v>30</v>
      </c>
      <c r="P648" t="str">
        <f>TEXT(Table1[[#This Row],[Transaction_Date]],"mmm")</f>
        <v>Oct</v>
      </c>
      <c r="Q648" s="11">
        <v>45947</v>
      </c>
      <c r="R648" s="8" t="s">
        <v>1594</v>
      </c>
      <c r="S648" s="8" t="s">
        <v>54</v>
      </c>
      <c r="T648" s="9">
        <v>2393.17</v>
      </c>
      <c r="U648" t="s">
        <v>61</v>
      </c>
      <c r="V648" s="8" t="s">
        <v>62</v>
      </c>
      <c r="W648"/>
      <c r="X648"/>
    </row>
    <row r="649" spans="1:24" hidden="1" x14ac:dyDescent="0.3">
      <c r="A649" t="s">
        <v>1595</v>
      </c>
      <c r="B649" t="s">
        <v>297</v>
      </c>
      <c r="C649">
        <v>53</v>
      </c>
      <c r="D649" t="s">
        <v>97</v>
      </c>
      <c r="E649" t="s">
        <v>98</v>
      </c>
      <c r="F649" t="s">
        <v>97</v>
      </c>
      <c r="G649" t="s">
        <v>51</v>
      </c>
      <c r="H649" s="8" t="s">
        <v>40</v>
      </c>
      <c r="I649" s="9">
        <v>40592.730000000003</v>
      </c>
      <c r="J649" s="9">
        <v>62123.62</v>
      </c>
      <c r="K649" s="8" t="s">
        <v>41</v>
      </c>
      <c r="L649" s="10">
        <v>28020.27</v>
      </c>
      <c r="M649" s="8" t="s">
        <v>29</v>
      </c>
      <c r="N649" s="9">
        <v>23819.279999999999</v>
      </c>
      <c r="O649" s="8" t="s">
        <v>30</v>
      </c>
      <c r="P649" t="str">
        <f>TEXT(Table1[[#This Row],[Transaction_Date]],"mmm")</f>
        <v>Mar</v>
      </c>
      <c r="Q649" s="11">
        <v>45738</v>
      </c>
      <c r="R649" s="8" t="s">
        <v>1596</v>
      </c>
      <c r="S649" s="8" t="s">
        <v>54</v>
      </c>
      <c r="T649" s="9">
        <v>5711.26</v>
      </c>
      <c r="U649" t="s">
        <v>45</v>
      </c>
      <c r="V649" s="8" t="s">
        <v>34</v>
      </c>
      <c r="W649"/>
      <c r="X649"/>
    </row>
    <row r="650" spans="1:24" x14ac:dyDescent="0.3">
      <c r="A650" t="s">
        <v>1597</v>
      </c>
      <c r="B650" t="s">
        <v>206</v>
      </c>
      <c r="C650">
        <v>20</v>
      </c>
      <c r="D650" t="s">
        <v>49</v>
      </c>
      <c r="E650" t="s">
        <v>50</v>
      </c>
      <c r="F650" t="s">
        <v>49</v>
      </c>
      <c r="G650" t="s">
        <v>39</v>
      </c>
      <c r="H650" s="8" t="s">
        <v>40</v>
      </c>
      <c r="I650" s="9">
        <v>96234.07</v>
      </c>
      <c r="J650" s="9">
        <v>18822.150000000001</v>
      </c>
      <c r="K650" s="8" t="s">
        <v>41</v>
      </c>
      <c r="L650" s="10">
        <v>25660.01</v>
      </c>
      <c r="M650" s="8" t="s">
        <v>29</v>
      </c>
      <c r="N650" s="9">
        <v>8744.83</v>
      </c>
      <c r="O650" s="8" t="s">
        <v>30</v>
      </c>
      <c r="P650" t="str">
        <f>TEXT(Table1[[#This Row],[Transaction_Date]],"mmm")</f>
        <v>Dec</v>
      </c>
      <c r="Q650" s="11">
        <v>46002</v>
      </c>
      <c r="R650" s="8" t="s">
        <v>1598</v>
      </c>
      <c r="S650" s="8" t="s">
        <v>70</v>
      </c>
      <c r="T650" s="9">
        <v>3094.67</v>
      </c>
      <c r="U650" t="s">
        <v>45</v>
      </c>
      <c r="V650" s="8" t="s">
        <v>46</v>
      </c>
      <c r="W650"/>
      <c r="X650"/>
    </row>
    <row r="651" spans="1:24" hidden="1" x14ac:dyDescent="0.3">
      <c r="A651" t="s">
        <v>1599</v>
      </c>
      <c r="B651" t="s">
        <v>597</v>
      </c>
      <c r="C651">
        <v>53</v>
      </c>
      <c r="D651" t="s">
        <v>24</v>
      </c>
      <c r="E651" t="s">
        <v>25</v>
      </c>
      <c r="F651" t="s">
        <v>24</v>
      </c>
      <c r="G651" t="s">
        <v>26</v>
      </c>
      <c r="H651" s="8" t="s">
        <v>27</v>
      </c>
      <c r="I651" s="9">
        <v>49448.32</v>
      </c>
      <c r="J651" s="9">
        <v>59450.98</v>
      </c>
      <c r="K651" s="8" t="s">
        <v>74</v>
      </c>
      <c r="L651" s="10">
        <v>0</v>
      </c>
      <c r="M651" s="8" t="s">
        <v>75</v>
      </c>
      <c r="N651" s="9">
        <v>0</v>
      </c>
      <c r="O651" s="8" t="s">
        <v>30</v>
      </c>
      <c r="P651" t="str">
        <f>TEXT(Table1[[#This Row],[Transaction_Date]],"mmm")</f>
        <v>Aug</v>
      </c>
      <c r="Q651" s="11">
        <v>45900</v>
      </c>
      <c r="R651" s="8" t="s">
        <v>1600</v>
      </c>
      <c r="S651" s="8" t="s">
        <v>54</v>
      </c>
      <c r="T651" s="9">
        <v>2201.04</v>
      </c>
      <c r="U651" t="s">
        <v>45</v>
      </c>
      <c r="V651" s="8" t="s">
        <v>62</v>
      </c>
      <c r="W651"/>
      <c r="X651"/>
    </row>
    <row r="652" spans="1:24" x14ac:dyDescent="0.3">
      <c r="A652" t="s">
        <v>1601</v>
      </c>
      <c r="B652" t="s">
        <v>521</v>
      </c>
      <c r="C652">
        <v>42</v>
      </c>
      <c r="D652" t="s">
        <v>97</v>
      </c>
      <c r="E652" t="s">
        <v>98</v>
      </c>
      <c r="F652" t="s">
        <v>97</v>
      </c>
      <c r="G652" t="s">
        <v>39</v>
      </c>
      <c r="H652" s="8" t="s">
        <v>40</v>
      </c>
      <c r="I652" s="9">
        <v>57008.92</v>
      </c>
      <c r="J652" s="9">
        <v>20212.349999999999</v>
      </c>
      <c r="K652" s="8" t="s">
        <v>28</v>
      </c>
      <c r="L652" s="10">
        <v>45010.81</v>
      </c>
      <c r="M652" s="8" t="s">
        <v>29</v>
      </c>
      <c r="N652" s="9">
        <v>23070.82</v>
      </c>
      <c r="O652" s="8" t="s">
        <v>30</v>
      </c>
      <c r="P652" t="str">
        <f>TEXT(Table1[[#This Row],[Transaction_Date]],"mmm")</f>
        <v>Jul</v>
      </c>
      <c r="Q652" s="11">
        <v>45865</v>
      </c>
      <c r="R652" s="8" t="s">
        <v>1602</v>
      </c>
      <c r="S652" s="8" t="s">
        <v>54</v>
      </c>
      <c r="T652" s="9">
        <v>2791.92</v>
      </c>
      <c r="U652" t="s">
        <v>106</v>
      </c>
      <c r="V652" s="8" t="s">
        <v>62</v>
      </c>
      <c r="W652"/>
      <c r="X652"/>
    </row>
    <row r="653" spans="1:24" x14ac:dyDescent="0.3">
      <c r="A653" t="s">
        <v>1603</v>
      </c>
      <c r="B653" t="s">
        <v>510</v>
      </c>
      <c r="C653">
        <v>25</v>
      </c>
      <c r="D653" t="s">
        <v>84</v>
      </c>
      <c r="E653" t="s">
        <v>85</v>
      </c>
      <c r="F653" t="s">
        <v>84</v>
      </c>
      <c r="G653" t="s">
        <v>39</v>
      </c>
      <c r="H653" s="8" t="s">
        <v>40</v>
      </c>
      <c r="I653" s="9">
        <v>16969.060000000001</v>
      </c>
      <c r="J653" s="9">
        <v>29521.25</v>
      </c>
      <c r="K653" s="8" t="s">
        <v>68</v>
      </c>
      <c r="L653" s="10">
        <v>49304.05</v>
      </c>
      <c r="M653" s="8" t="s">
        <v>29</v>
      </c>
      <c r="N653" s="9">
        <v>17673.72</v>
      </c>
      <c r="O653" s="8" t="s">
        <v>30</v>
      </c>
      <c r="P653" t="str">
        <f>TEXT(Table1[[#This Row],[Transaction_Date]],"mmm")</f>
        <v>Jan</v>
      </c>
      <c r="Q653" s="11">
        <v>45680</v>
      </c>
      <c r="R653" s="8" t="s">
        <v>1604</v>
      </c>
      <c r="S653" s="8" t="s">
        <v>70</v>
      </c>
      <c r="T653" s="9">
        <v>35117.199999999997</v>
      </c>
      <c r="U653" t="s">
        <v>77</v>
      </c>
      <c r="V653" s="8" t="s">
        <v>34</v>
      </c>
      <c r="W653"/>
      <c r="X653"/>
    </row>
    <row r="654" spans="1:24" x14ac:dyDescent="0.3">
      <c r="A654" t="s">
        <v>1605</v>
      </c>
      <c r="B654" t="s">
        <v>950</v>
      </c>
      <c r="C654">
        <v>37</v>
      </c>
      <c r="D654" t="s">
        <v>92</v>
      </c>
      <c r="E654" t="s">
        <v>93</v>
      </c>
      <c r="F654" t="s">
        <v>92</v>
      </c>
      <c r="G654" t="s">
        <v>39</v>
      </c>
      <c r="H654" s="8" t="s">
        <v>40</v>
      </c>
      <c r="I654" s="9">
        <v>78753.77</v>
      </c>
      <c r="J654" s="9">
        <v>110351.17</v>
      </c>
      <c r="K654" s="8" t="s">
        <v>74</v>
      </c>
      <c r="L654" s="10">
        <v>0</v>
      </c>
      <c r="M654" s="8" t="s">
        <v>75</v>
      </c>
      <c r="N654" s="9">
        <v>0</v>
      </c>
      <c r="O654" s="8" t="s">
        <v>30</v>
      </c>
      <c r="P654" t="str">
        <f>TEXT(Table1[[#This Row],[Transaction_Date]],"mmm")</f>
        <v>Dec</v>
      </c>
      <c r="Q654" s="11">
        <v>46020</v>
      </c>
      <c r="R654" s="8" t="s">
        <v>1606</v>
      </c>
      <c r="S654" s="8" t="s">
        <v>54</v>
      </c>
      <c r="T654" s="9">
        <v>16536.07</v>
      </c>
      <c r="U654" t="s">
        <v>33</v>
      </c>
      <c r="V654" s="8" t="s">
        <v>34</v>
      </c>
      <c r="W654"/>
      <c r="X654"/>
    </row>
    <row r="655" spans="1:24" x14ac:dyDescent="0.3">
      <c r="A655" t="s">
        <v>1607</v>
      </c>
      <c r="B655" t="s">
        <v>654</v>
      </c>
      <c r="C655">
        <v>21</v>
      </c>
      <c r="D655" t="s">
        <v>84</v>
      </c>
      <c r="E655" t="s">
        <v>85</v>
      </c>
      <c r="F655" t="s">
        <v>84</v>
      </c>
      <c r="G655" t="s">
        <v>39</v>
      </c>
      <c r="H655" s="8" t="s">
        <v>40</v>
      </c>
      <c r="I655" s="9">
        <v>74105.77</v>
      </c>
      <c r="J655" s="9">
        <v>19177.93</v>
      </c>
      <c r="K655" s="8" t="s">
        <v>59</v>
      </c>
      <c r="L655" s="10">
        <v>254195.71</v>
      </c>
      <c r="M655" s="8" t="s">
        <v>29</v>
      </c>
      <c r="N655" s="9">
        <v>56912.53</v>
      </c>
      <c r="O655" s="8" t="s">
        <v>30</v>
      </c>
      <c r="P655" t="str">
        <f>TEXT(Table1[[#This Row],[Transaction_Date]],"mmm")</f>
        <v>Jul</v>
      </c>
      <c r="Q655" s="11">
        <v>45840</v>
      </c>
      <c r="R655" s="8" t="s">
        <v>1608</v>
      </c>
      <c r="S655" s="8" t="s">
        <v>32</v>
      </c>
      <c r="T655" s="9">
        <v>1107.07</v>
      </c>
      <c r="U655" t="s">
        <v>77</v>
      </c>
      <c r="V655" s="8" t="s">
        <v>62</v>
      </c>
      <c r="W655"/>
      <c r="X655"/>
    </row>
    <row r="656" spans="1:24" hidden="1" x14ac:dyDescent="0.3">
      <c r="A656" t="s">
        <v>1609</v>
      </c>
      <c r="B656" t="s">
        <v>945</v>
      </c>
      <c r="C656">
        <v>35</v>
      </c>
      <c r="D656" t="s">
        <v>24</v>
      </c>
      <c r="E656" t="s">
        <v>25</v>
      </c>
      <c r="F656" t="s">
        <v>24</v>
      </c>
      <c r="G656" t="s">
        <v>51</v>
      </c>
      <c r="H656" s="8" t="s">
        <v>40</v>
      </c>
      <c r="I656" s="9">
        <v>14560.73</v>
      </c>
      <c r="J656" s="9">
        <v>1570.84</v>
      </c>
      <c r="K656" s="8" t="s">
        <v>28</v>
      </c>
      <c r="L656" s="10">
        <v>25000</v>
      </c>
      <c r="M656" s="8" t="s">
        <v>29</v>
      </c>
      <c r="N656" s="9">
        <v>13141</v>
      </c>
      <c r="O656" s="8" t="s">
        <v>30</v>
      </c>
      <c r="P656" t="str">
        <f>TEXT(Table1[[#This Row],[Transaction_Date]],"mmm")</f>
        <v>Apr</v>
      </c>
      <c r="Q656" s="11">
        <v>45756</v>
      </c>
      <c r="R656" s="8" t="s">
        <v>1610</v>
      </c>
      <c r="S656" s="8" t="s">
        <v>70</v>
      </c>
      <c r="T656" s="9">
        <v>3891.45</v>
      </c>
      <c r="U656" t="s">
        <v>71</v>
      </c>
      <c r="V656" s="8" t="s">
        <v>62</v>
      </c>
      <c r="W656"/>
      <c r="X656"/>
    </row>
    <row r="657" spans="1:24" x14ac:dyDescent="0.3">
      <c r="A657" t="s">
        <v>1611</v>
      </c>
      <c r="B657" t="s">
        <v>1029</v>
      </c>
      <c r="C657">
        <v>47</v>
      </c>
      <c r="D657" t="s">
        <v>84</v>
      </c>
      <c r="E657" t="s">
        <v>85</v>
      </c>
      <c r="F657" t="s">
        <v>84</v>
      </c>
      <c r="G657" t="s">
        <v>39</v>
      </c>
      <c r="H657" s="8" t="s">
        <v>40</v>
      </c>
      <c r="I657" s="9">
        <v>52608.93</v>
      </c>
      <c r="J657" s="9">
        <v>20794.82</v>
      </c>
      <c r="K657" s="8" t="s">
        <v>28</v>
      </c>
      <c r="L657" s="10">
        <v>132997.69</v>
      </c>
      <c r="M657" s="8" t="s">
        <v>29</v>
      </c>
      <c r="N657" s="9">
        <v>49291.360000000001</v>
      </c>
      <c r="O657" s="8" t="s">
        <v>30</v>
      </c>
      <c r="P657" t="str">
        <f>TEXT(Table1[[#This Row],[Transaction_Date]],"mmm")</f>
        <v>Apr</v>
      </c>
      <c r="Q657" s="11">
        <v>45751</v>
      </c>
      <c r="R657" s="8" t="s">
        <v>1612</v>
      </c>
      <c r="S657" s="8" t="s">
        <v>54</v>
      </c>
      <c r="T657" s="9">
        <v>28626.79</v>
      </c>
      <c r="U657" t="s">
        <v>45</v>
      </c>
      <c r="V657" s="8" t="s">
        <v>62</v>
      </c>
      <c r="W657"/>
      <c r="X657"/>
    </row>
    <row r="658" spans="1:24" x14ac:dyDescent="0.3">
      <c r="A658" t="s">
        <v>1613</v>
      </c>
      <c r="B658" t="s">
        <v>1166</v>
      </c>
      <c r="C658">
        <v>24</v>
      </c>
      <c r="D658" t="s">
        <v>97</v>
      </c>
      <c r="E658" t="s">
        <v>98</v>
      </c>
      <c r="F658" t="s">
        <v>97</v>
      </c>
      <c r="G658" t="s">
        <v>39</v>
      </c>
      <c r="H658" s="8" t="s">
        <v>40</v>
      </c>
      <c r="I658" s="9">
        <v>49713.2</v>
      </c>
      <c r="J658" s="9">
        <v>23612.240000000002</v>
      </c>
      <c r="K658" s="8" t="s">
        <v>68</v>
      </c>
      <c r="L658" s="10">
        <v>268983.46999999997</v>
      </c>
      <c r="M658" s="8" t="s">
        <v>29</v>
      </c>
      <c r="N658" s="9">
        <v>146781.75</v>
      </c>
      <c r="O658" s="8" t="s">
        <v>30</v>
      </c>
      <c r="P658" t="str">
        <f>TEXT(Table1[[#This Row],[Transaction_Date]],"mmm")</f>
        <v>Mar</v>
      </c>
      <c r="Q658" s="11">
        <v>45742</v>
      </c>
      <c r="R658" s="8" t="s">
        <v>1614</v>
      </c>
      <c r="S658" s="8" t="s">
        <v>70</v>
      </c>
      <c r="T658" s="9">
        <v>3725</v>
      </c>
      <c r="U658" t="s">
        <v>45</v>
      </c>
      <c r="V658" s="8" t="s">
        <v>62</v>
      </c>
      <c r="W658"/>
      <c r="X658"/>
    </row>
    <row r="659" spans="1:24" x14ac:dyDescent="0.3">
      <c r="A659" t="s">
        <v>1615</v>
      </c>
      <c r="B659" t="s">
        <v>421</v>
      </c>
      <c r="C659">
        <v>31</v>
      </c>
      <c r="D659" t="s">
        <v>84</v>
      </c>
      <c r="E659" t="s">
        <v>85</v>
      </c>
      <c r="F659" t="s">
        <v>84</v>
      </c>
      <c r="G659" t="s">
        <v>39</v>
      </c>
      <c r="H659" s="8" t="s">
        <v>40</v>
      </c>
      <c r="I659" s="9">
        <v>84159.32</v>
      </c>
      <c r="J659" s="9">
        <v>11891.71</v>
      </c>
      <c r="K659" s="8" t="s">
        <v>74</v>
      </c>
      <c r="L659" s="10">
        <v>0</v>
      </c>
      <c r="M659" s="8" t="s">
        <v>75</v>
      </c>
      <c r="N659" s="9">
        <v>0</v>
      </c>
      <c r="O659" s="8" t="s">
        <v>30</v>
      </c>
      <c r="P659" t="str">
        <f>TEXT(Table1[[#This Row],[Transaction_Date]],"mmm")</f>
        <v>Sep</v>
      </c>
      <c r="Q659" s="11">
        <v>45910</v>
      </c>
      <c r="R659" s="8" t="s">
        <v>1616</v>
      </c>
      <c r="S659" s="8" t="s">
        <v>70</v>
      </c>
      <c r="T659" s="9">
        <v>6898.68</v>
      </c>
      <c r="U659" t="s">
        <v>33</v>
      </c>
      <c r="V659" s="8" t="s">
        <v>34</v>
      </c>
      <c r="W659"/>
      <c r="X659"/>
    </row>
    <row r="660" spans="1:24" x14ac:dyDescent="0.3">
      <c r="A660" t="s">
        <v>1617</v>
      </c>
      <c r="B660" t="s">
        <v>950</v>
      </c>
      <c r="C660">
        <v>39</v>
      </c>
      <c r="D660" t="s">
        <v>84</v>
      </c>
      <c r="E660" t="s">
        <v>85</v>
      </c>
      <c r="F660" t="s">
        <v>84</v>
      </c>
      <c r="G660" t="s">
        <v>39</v>
      </c>
      <c r="H660" s="8" t="s">
        <v>51</v>
      </c>
      <c r="I660" s="9">
        <v>32384.67</v>
      </c>
      <c r="J660" s="9">
        <v>27459.9</v>
      </c>
      <c r="K660" s="8" t="s">
        <v>74</v>
      </c>
      <c r="L660" s="10">
        <v>0</v>
      </c>
      <c r="M660" s="8" t="s">
        <v>75</v>
      </c>
      <c r="N660" s="9">
        <v>0</v>
      </c>
      <c r="O660" s="8" t="s">
        <v>30</v>
      </c>
      <c r="P660" t="str">
        <f>TEXT(Table1[[#This Row],[Transaction_Date]],"mmm")</f>
        <v>Dec</v>
      </c>
      <c r="Q660" s="11">
        <v>46014</v>
      </c>
      <c r="R660" s="8" t="s">
        <v>1618</v>
      </c>
      <c r="S660" s="8" t="s">
        <v>32</v>
      </c>
      <c r="T660" s="9">
        <v>777.61</v>
      </c>
      <c r="U660" t="s">
        <v>106</v>
      </c>
      <c r="V660" s="8" t="s">
        <v>46</v>
      </c>
      <c r="W660"/>
      <c r="X660"/>
    </row>
    <row r="661" spans="1:24" x14ac:dyDescent="0.3">
      <c r="A661" t="s">
        <v>1619</v>
      </c>
      <c r="B661" t="s">
        <v>527</v>
      </c>
      <c r="C661">
        <v>59</v>
      </c>
      <c r="D661" t="s">
        <v>49</v>
      </c>
      <c r="E661" t="s">
        <v>50</v>
      </c>
      <c r="F661" t="s">
        <v>49</v>
      </c>
      <c r="G661" t="s">
        <v>39</v>
      </c>
      <c r="H661" s="8" t="s">
        <v>27</v>
      </c>
      <c r="I661" s="9">
        <v>84448.75</v>
      </c>
      <c r="J661" s="9">
        <v>33503.85</v>
      </c>
      <c r="K661" s="8" t="s">
        <v>28</v>
      </c>
      <c r="L661" s="10">
        <v>25000</v>
      </c>
      <c r="M661" s="8" t="s">
        <v>29</v>
      </c>
      <c r="N661" s="9">
        <v>13470.16</v>
      </c>
      <c r="O661" s="8" t="s">
        <v>228</v>
      </c>
      <c r="P661" t="str">
        <f>TEXT(Table1[[#This Row],[Transaction_Date]],"mmm")</f>
        <v>Mar</v>
      </c>
      <c r="Q661" s="11">
        <v>45740</v>
      </c>
      <c r="R661" s="8" t="s">
        <v>1620</v>
      </c>
      <c r="S661" s="8" t="s">
        <v>44</v>
      </c>
      <c r="T661" s="9">
        <v>2021.5</v>
      </c>
      <c r="U661" t="s">
        <v>33</v>
      </c>
      <c r="V661" s="8" t="s">
        <v>46</v>
      </c>
      <c r="W661"/>
      <c r="X661"/>
    </row>
    <row r="662" spans="1:24" x14ac:dyDescent="0.3">
      <c r="A662" t="s">
        <v>1621</v>
      </c>
      <c r="B662" t="s">
        <v>265</v>
      </c>
      <c r="C662">
        <v>37</v>
      </c>
      <c r="D662" t="s">
        <v>37</v>
      </c>
      <c r="E662" t="s">
        <v>38</v>
      </c>
      <c r="F662" t="s">
        <v>37</v>
      </c>
      <c r="G662" t="s">
        <v>39</v>
      </c>
      <c r="H662" s="8" t="s">
        <v>40</v>
      </c>
      <c r="I662" s="9">
        <v>51758.080000000002</v>
      </c>
      <c r="J662" s="9">
        <v>41288.400000000001</v>
      </c>
      <c r="K662" s="8" t="s">
        <v>68</v>
      </c>
      <c r="L662" s="10">
        <v>61302.15</v>
      </c>
      <c r="M662" s="8" t="s">
        <v>29</v>
      </c>
      <c r="N662" s="9">
        <v>52415.68</v>
      </c>
      <c r="O662" s="8" t="s">
        <v>30</v>
      </c>
      <c r="P662" t="str">
        <f>TEXT(Table1[[#This Row],[Transaction_Date]],"mmm")</f>
        <v>Dec</v>
      </c>
      <c r="Q662" s="11">
        <v>46013</v>
      </c>
      <c r="R662" s="8" t="s">
        <v>1622</v>
      </c>
      <c r="S662" s="8" t="s">
        <v>44</v>
      </c>
      <c r="T662" s="9">
        <v>2253.08</v>
      </c>
      <c r="U662" t="s">
        <v>61</v>
      </c>
      <c r="V662" s="8" t="s">
        <v>62</v>
      </c>
      <c r="W662"/>
      <c r="X662"/>
    </row>
    <row r="663" spans="1:24" hidden="1" x14ac:dyDescent="0.3">
      <c r="A663" t="s">
        <v>1623</v>
      </c>
      <c r="B663" t="s">
        <v>101</v>
      </c>
      <c r="C663">
        <v>36</v>
      </c>
      <c r="D663" t="s">
        <v>37</v>
      </c>
      <c r="E663" t="s">
        <v>38</v>
      </c>
      <c r="F663" t="s">
        <v>37</v>
      </c>
      <c r="G663" t="s">
        <v>26</v>
      </c>
      <c r="H663" s="8" t="s">
        <v>27</v>
      </c>
      <c r="I663" s="9">
        <v>106111.87</v>
      </c>
      <c r="J663" s="9">
        <v>16371.42</v>
      </c>
      <c r="K663" s="8" t="s">
        <v>74</v>
      </c>
      <c r="L663" s="10">
        <v>0</v>
      </c>
      <c r="M663" s="8" t="s">
        <v>75</v>
      </c>
      <c r="N663" s="9">
        <v>0</v>
      </c>
      <c r="O663" s="8" t="s">
        <v>30</v>
      </c>
      <c r="P663" t="str">
        <f>TEXT(Table1[[#This Row],[Transaction_Date]],"mmm")</f>
        <v>Aug</v>
      </c>
      <c r="Q663" s="11">
        <v>45891</v>
      </c>
      <c r="R663" s="8" t="s">
        <v>1624</v>
      </c>
      <c r="S663" s="8" t="s">
        <v>70</v>
      </c>
      <c r="T663" s="9">
        <v>2056.88</v>
      </c>
      <c r="U663" t="s">
        <v>33</v>
      </c>
      <c r="V663" s="8" t="s">
        <v>62</v>
      </c>
      <c r="W663"/>
      <c r="X663"/>
    </row>
    <row r="664" spans="1:24" hidden="1" x14ac:dyDescent="0.3">
      <c r="A664" t="s">
        <v>1625</v>
      </c>
      <c r="B664" t="s">
        <v>114</v>
      </c>
      <c r="C664">
        <v>47</v>
      </c>
      <c r="D664" t="s">
        <v>57</v>
      </c>
      <c r="E664" t="s">
        <v>58</v>
      </c>
      <c r="F664" t="s">
        <v>57</v>
      </c>
      <c r="G664" t="s">
        <v>80</v>
      </c>
      <c r="H664" s="8" t="s">
        <v>67</v>
      </c>
      <c r="I664" s="9">
        <v>12000</v>
      </c>
      <c r="J664" s="9">
        <v>62930.86</v>
      </c>
      <c r="K664" s="8" t="s">
        <v>59</v>
      </c>
      <c r="L664" s="10">
        <v>77205.960000000006</v>
      </c>
      <c r="M664" s="8" t="s">
        <v>29</v>
      </c>
      <c r="N664" s="9">
        <v>15859.26</v>
      </c>
      <c r="O664" s="8" t="s">
        <v>30</v>
      </c>
      <c r="P664" t="str">
        <f>TEXT(Table1[[#This Row],[Transaction_Date]],"mmm")</f>
        <v>Sep</v>
      </c>
      <c r="Q664" s="11">
        <v>45925</v>
      </c>
      <c r="R664" s="8" t="s">
        <v>1626</v>
      </c>
      <c r="S664" s="8" t="s">
        <v>44</v>
      </c>
      <c r="T664" s="9">
        <v>4525.67</v>
      </c>
      <c r="U664" t="s">
        <v>71</v>
      </c>
      <c r="V664" s="8" t="s">
        <v>34</v>
      </c>
      <c r="W664"/>
      <c r="X664"/>
    </row>
    <row r="665" spans="1:24" hidden="1" x14ac:dyDescent="0.3">
      <c r="A665" t="s">
        <v>1627</v>
      </c>
      <c r="B665" t="s">
        <v>500</v>
      </c>
      <c r="C665">
        <v>45</v>
      </c>
      <c r="D665" t="s">
        <v>37</v>
      </c>
      <c r="E665" t="s">
        <v>38</v>
      </c>
      <c r="F665" t="s">
        <v>37</v>
      </c>
      <c r="G665" t="s">
        <v>80</v>
      </c>
      <c r="H665" s="8" t="s">
        <v>40</v>
      </c>
      <c r="I665" s="9">
        <v>34177.199999999997</v>
      </c>
      <c r="J665" s="9">
        <v>49178.48</v>
      </c>
      <c r="K665" s="8" t="s">
        <v>74</v>
      </c>
      <c r="L665" s="10">
        <v>0</v>
      </c>
      <c r="M665" s="8" t="s">
        <v>75</v>
      </c>
      <c r="N665" s="9">
        <v>0</v>
      </c>
      <c r="O665" s="8" t="s">
        <v>30</v>
      </c>
      <c r="P665" t="str">
        <f>TEXT(Table1[[#This Row],[Transaction_Date]],"mmm")</f>
        <v>Dec</v>
      </c>
      <c r="Q665" s="11">
        <v>45995</v>
      </c>
      <c r="R665" s="8" t="s">
        <v>1628</v>
      </c>
      <c r="S665" s="8" t="s">
        <v>54</v>
      </c>
      <c r="T665" s="9">
        <v>774.63</v>
      </c>
      <c r="U665" t="s">
        <v>77</v>
      </c>
      <c r="V665" s="8" t="s">
        <v>46</v>
      </c>
      <c r="W665"/>
      <c r="X665"/>
    </row>
    <row r="666" spans="1:24" hidden="1" x14ac:dyDescent="0.3">
      <c r="A666" t="s">
        <v>1629</v>
      </c>
      <c r="B666" t="s">
        <v>969</v>
      </c>
      <c r="C666">
        <v>29</v>
      </c>
      <c r="D666" t="s">
        <v>92</v>
      </c>
      <c r="E666" t="s">
        <v>93</v>
      </c>
      <c r="F666" t="s">
        <v>92</v>
      </c>
      <c r="G666" t="s">
        <v>26</v>
      </c>
      <c r="H666" s="8" t="s">
        <v>27</v>
      </c>
      <c r="I666" s="9">
        <v>47434.13</v>
      </c>
      <c r="J666" s="9">
        <v>70997.070000000007</v>
      </c>
      <c r="K666" s="8" t="s">
        <v>52</v>
      </c>
      <c r="L666" s="10">
        <v>41509.769999999997</v>
      </c>
      <c r="M666" s="8" t="s">
        <v>42</v>
      </c>
      <c r="N666" s="9">
        <v>0</v>
      </c>
      <c r="O666" s="8" t="s">
        <v>30</v>
      </c>
      <c r="P666" t="str">
        <f>TEXT(Table1[[#This Row],[Transaction_Date]],"mmm")</f>
        <v>Dec</v>
      </c>
      <c r="Q666" s="11">
        <v>46016</v>
      </c>
      <c r="R666" s="8" t="s">
        <v>1630</v>
      </c>
      <c r="S666" s="8" t="s">
        <v>54</v>
      </c>
      <c r="T666" s="9">
        <v>884.73</v>
      </c>
      <c r="U666" t="s">
        <v>71</v>
      </c>
      <c r="V666" s="8" t="s">
        <v>46</v>
      </c>
      <c r="W666"/>
      <c r="X666"/>
    </row>
    <row r="667" spans="1:24" x14ac:dyDescent="0.3">
      <c r="A667" t="s">
        <v>1631</v>
      </c>
      <c r="B667" t="s">
        <v>442</v>
      </c>
      <c r="C667">
        <v>47</v>
      </c>
      <c r="D667" t="s">
        <v>37</v>
      </c>
      <c r="E667" t="s">
        <v>38</v>
      </c>
      <c r="F667" t="s">
        <v>37</v>
      </c>
      <c r="G667" t="s">
        <v>39</v>
      </c>
      <c r="H667" s="8" t="s">
        <v>40</v>
      </c>
      <c r="I667" s="9">
        <v>39850.400000000001</v>
      </c>
      <c r="J667" s="9">
        <v>7254</v>
      </c>
      <c r="K667" s="8" t="s">
        <v>68</v>
      </c>
      <c r="L667" s="10">
        <v>108199.02</v>
      </c>
      <c r="M667" s="8" t="s">
        <v>29</v>
      </c>
      <c r="N667" s="9">
        <v>50080.2</v>
      </c>
      <c r="O667" s="8" t="s">
        <v>30</v>
      </c>
      <c r="P667" t="str">
        <f>TEXT(Table1[[#This Row],[Transaction_Date]],"mmm")</f>
        <v>Nov</v>
      </c>
      <c r="Q667" s="11">
        <v>45971</v>
      </c>
      <c r="R667" s="8" t="s">
        <v>1632</v>
      </c>
      <c r="S667" s="8" t="s">
        <v>70</v>
      </c>
      <c r="T667" s="9">
        <v>4609.84</v>
      </c>
      <c r="U667" t="s">
        <v>106</v>
      </c>
      <c r="V667" s="8" t="s">
        <v>62</v>
      </c>
      <c r="W667"/>
      <c r="X667"/>
    </row>
    <row r="668" spans="1:24" hidden="1" x14ac:dyDescent="0.3">
      <c r="A668" t="s">
        <v>1633</v>
      </c>
      <c r="B668" t="s">
        <v>646</v>
      </c>
      <c r="C668">
        <v>28</v>
      </c>
      <c r="D668" t="s">
        <v>97</v>
      </c>
      <c r="E668" t="s">
        <v>98</v>
      </c>
      <c r="F668" t="s">
        <v>97</v>
      </c>
      <c r="G668" t="s">
        <v>26</v>
      </c>
      <c r="H668" s="8" t="s">
        <v>40</v>
      </c>
      <c r="I668" s="9">
        <v>62045.61</v>
      </c>
      <c r="J668" s="9">
        <v>14296.18</v>
      </c>
      <c r="K668" s="8" t="s">
        <v>52</v>
      </c>
      <c r="L668" s="10">
        <v>49408.67</v>
      </c>
      <c r="M668" s="8" t="s">
        <v>29</v>
      </c>
      <c r="N668" s="9">
        <v>39014.910000000003</v>
      </c>
      <c r="O668" s="8" t="s">
        <v>30</v>
      </c>
      <c r="P668" t="str">
        <f>TEXT(Table1[[#This Row],[Transaction_Date]],"mmm")</f>
        <v>Oct</v>
      </c>
      <c r="Q668" s="11">
        <v>45951</v>
      </c>
      <c r="R668" s="8" t="s">
        <v>1634</v>
      </c>
      <c r="S668" s="8" t="s">
        <v>54</v>
      </c>
      <c r="T668" s="9">
        <v>14940.72</v>
      </c>
      <c r="U668" t="s">
        <v>45</v>
      </c>
      <c r="V668" s="8" t="s">
        <v>62</v>
      </c>
      <c r="W668"/>
      <c r="X668"/>
    </row>
    <row r="669" spans="1:24" hidden="1" x14ac:dyDescent="0.3">
      <c r="A669" t="s">
        <v>1635</v>
      </c>
      <c r="B669" t="s">
        <v>1096</v>
      </c>
      <c r="C669">
        <v>51</v>
      </c>
      <c r="D669" t="s">
        <v>49</v>
      </c>
      <c r="E669" t="s">
        <v>50</v>
      </c>
      <c r="F669" t="s">
        <v>49</v>
      </c>
      <c r="G669" t="s">
        <v>26</v>
      </c>
      <c r="H669" s="8" t="s">
        <v>40</v>
      </c>
      <c r="I669" s="9">
        <v>56183.61</v>
      </c>
      <c r="J669" s="9">
        <v>17167.05</v>
      </c>
      <c r="K669" s="8" t="s">
        <v>59</v>
      </c>
      <c r="L669" s="10">
        <v>84599.34</v>
      </c>
      <c r="M669" s="8" t="s">
        <v>29</v>
      </c>
      <c r="N669" s="9">
        <v>25245.43</v>
      </c>
      <c r="O669" s="8" t="s">
        <v>30</v>
      </c>
      <c r="P669" t="str">
        <f>TEXT(Table1[[#This Row],[Transaction_Date]],"mmm")</f>
        <v>Apr</v>
      </c>
      <c r="Q669" s="11">
        <v>45756</v>
      </c>
      <c r="R669" s="8" t="s">
        <v>1636</v>
      </c>
      <c r="S669" s="8" t="s">
        <v>54</v>
      </c>
      <c r="T669" s="9">
        <v>16286.3</v>
      </c>
      <c r="U669" t="s">
        <v>77</v>
      </c>
      <c r="V669" s="8" t="s">
        <v>62</v>
      </c>
      <c r="W669"/>
      <c r="X669"/>
    </row>
    <row r="670" spans="1:24" x14ac:dyDescent="0.3">
      <c r="A670" t="s">
        <v>1637</v>
      </c>
      <c r="B670" t="s">
        <v>577</v>
      </c>
      <c r="C670">
        <v>38</v>
      </c>
      <c r="D670" t="s">
        <v>84</v>
      </c>
      <c r="E670" t="s">
        <v>85</v>
      </c>
      <c r="F670" t="s">
        <v>84</v>
      </c>
      <c r="G670" t="s">
        <v>39</v>
      </c>
      <c r="H670" s="8" t="s">
        <v>27</v>
      </c>
      <c r="I670" s="9">
        <v>37163.15</v>
      </c>
      <c r="J670" s="9">
        <v>17227.07</v>
      </c>
      <c r="K670" s="8" t="s">
        <v>28</v>
      </c>
      <c r="L670" s="10">
        <v>25000</v>
      </c>
      <c r="M670" s="8" t="s">
        <v>29</v>
      </c>
      <c r="N670" s="9">
        <v>20175.18</v>
      </c>
      <c r="O670" s="8" t="s">
        <v>30</v>
      </c>
      <c r="P670" t="str">
        <f>TEXT(Table1[[#This Row],[Transaction_Date]],"mmm")</f>
        <v>Aug</v>
      </c>
      <c r="Q670" s="11">
        <v>45883</v>
      </c>
      <c r="R670" s="8" t="s">
        <v>1638</v>
      </c>
      <c r="S670" s="8" t="s">
        <v>70</v>
      </c>
      <c r="T670" s="9">
        <v>4539.37</v>
      </c>
      <c r="U670" t="s">
        <v>77</v>
      </c>
      <c r="V670" s="8" t="s">
        <v>34</v>
      </c>
      <c r="W670"/>
      <c r="X670"/>
    </row>
    <row r="671" spans="1:24" hidden="1" x14ac:dyDescent="0.3">
      <c r="A671" t="s">
        <v>1639</v>
      </c>
      <c r="B671" t="s">
        <v>455</v>
      </c>
      <c r="C671">
        <v>28</v>
      </c>
      <c r="D671" t="s">
        <v>24</v>
      </c>
      <c r="E671" t="s">
        <v>25</v>
      </c>
      <c r="F671" t="s">
        <v>24</v>
      </c>
      <c r="G671" t="s">
        <v>51</v>
      </c>
      <c r="H671" s="8" t="s">
        <v>40</v>
      </c>
      <c r="I671" s="9">
        <v>42936.06</v>
      </c>
      <c r="J671" s="9">
        <v>16385.25</v>
      </c>
      <c r="K671" s="8" t="s">
        <v>74</v>
      </c>
      <c r="L671" s="10">
        <v>0</v>
      </c>
      <c r="M671" s="8" t="s">
        <v>75</v>
      </c>
      <c r="N671" s="9">
        <v>0</v>
      </c>
      <c r="O671" s="8" t="s">
        <v>30</v>
      </c>
      <c r="P671" t="str">
        <f>TEXT(Table1[[#This Row],[Transaction_Date]],"mmm")</f>
        <v>Feb</v>
      </c>
      <c r="Q671" s="11">
        <v>45697</v>
      </c>
      <c r="R671" s="8" t="s">
        <v>1640</v>
      </c>
      <c r="S671" s="8" t="s">
        <v>54</v>
      </c>
      <c r="T671" s="9">
        <v>4526.45</v>
      </c>
      <c r="U671" t="s">
        <v>71</v>
      </c>
      <c r="V671" s="8" t="s">
        <v>46</v>
      </c>
      <c r="W671"/>
      <c r="X671"/>
    </row>
    <row r="672" spans="1:24" hidden="1" x14ac:dyDescent="0.3">
      <c r="A672" t="s">
        <v>1641</v>
      </c>
      <c r="B672" t="s">
        <v>633</v>
      </c>
      <c r="C672">
        <v>28</v>
      </c>
      <c r="D672" t="s">
        <v>92</v>
      </c>
      <c r="E672" t="s">
        <v>93</v>
      </c>
      <c r="F672" t="s">
        <v>92</v>
      </c>
      <c r="G672" t="s">
        <v>80</v>
      </c>
      <c r="H672" s="8" t="s">
        <v>67</v>
      </c>
      <c r="I672" s="9">
        <v>31230.53</v>
      </c>
      <c r="J672" s="9">
        <v>11129.87</v>
      </c>
      <c r="K672" s="8" t="s">
        <v>28</v>
      </c>
      <c r="L672" s="10">
        <v>28127.599999999999</v>
      </c>
      <c r="M672" s="8" t="s">
        <v>29</v>
      </c>
      <c r="N672" s="9">
        <v>11421.27</v>
      </c>
      <c r="O672" s="8" t="s">
        <v>30</v>
      </c>
      <c r="P672" t="str">
        <f>TEXT(Table1[[#This Row],[Transaction_Date]],"mmm")</f>
        <v>Jul</v>
      </c>
      <c r="Q672" s="11">
        <v>45859</v>
      </c>
      <c r="R672" s="8" t="s">
        <v>1642</v>
      </c>
      <c r="S672" s="8" t="s">
        <v>44</v>
      </c>
      <c r="T672" s="9">
        <v>4625.1499999999996</v>
      </c>
      <c r="U672" t="s">
        <v>45</v>
      </c>
      <c r="V672" s="8" t="s">
        <v>62</v>
      </c>
      <c r="W672"/>
      <c r="X672"/>
    </row>
    <row r="673" spans="1:24" x14ac:dyDescent="0.3">
      <c r="A673" t="s">
        <v>1643</v>
      </c>
      <c r="B673" t="s">
        <v>1068</v>
      </c>
      <c r="C673">
        <v>43</v>
      </c>
      <c r="D673" t="s">
        <v>37</v>
      </c>
      <c r="E673" t="s">
        <v>38</v>
      </c>
      <c r="F673" t="s">
        <v>37</v>
      </c>
      <c r="G673" t="s">
        <v>39</v>
      </c>
      <c r="H673" s="8" t="s">
        <v>40</v>
      </c>
      <c r="I673" s="9">
        <v>103086.07</v>
      </c>
      <c r="J673" s="9">
        <v>17221.09</v>
      </c>
      <c r="K673" s="8" t="s">
        <v>59</v>
      </c>
      <c r="L673" s="10">
        <v>49765.22</v>
      </c>
      <c r="M673" s="8" t="s">
        <v>29</v>
      </c>
      <c r="N673" s="9">
        <v>28642.43</v>
      </c>
      <c r="O673" s="8" t="s">
        <v>30</v>
      </c>
      <c r="P673" t="str">
        <f>TEXT(Table1[[#This Row],[Transaction_Date]],"mmm")</f>
        <v>Jul</v>
      </c>
      <c r="Q673" s="11">
        <v>45846</v>
      </c>
      <c r="R673" s="8" t="s">
        <v>1644</v>
      </c>
      <c r="S673" s="8" t="s">
        <v>70</v>
      </c>
      <c r="T673" s="9">
        <v>6217.56</v>
      </c>
      <c r="U673" t="s">
        <v>106</v>
      </c>
      <c r="V673" s="8" t="s">
        <v>62</v>
      </c>
      <c r="W673"/>
      <c r="X673"/>
    </row>
    <row r="674" spans="1:24" hidden="1" x14ac:dyDescent="0.3">
      <c r="A674" t="s">
        <v>1645</v>
      </c>
      <c r="B674" t="s">
        <v>1646</v>
      </c>
      <c r="C674">
        <v>32</v>
      </c>
      <c r="D674" t="s">
        <v>57</v>
      </c>
      <c r="E674" t="s">
        <v>58</v>
      </c>
      <c r="F674" t="s">
        <v>57</v>
      </c>
      <c r="G674" t="s">
        <v>26</v>
      </c>
      <c r="H674" s="8" t="s">
        <v>40</v>
      </c>
      <c r="I674" s="9">
        <v>19015.060000000001</v>
      </c>
      <c r="J674" s="9">
        <v>13909.11</v>
      </c>
      <c r="K674" s="8" t="s">
        <v>28</v>
      </c>
      <c r="L674" s="10">
        <v>48930.12</v>
      </c>
      <c r="M674" s="8" t="s">
        <v>29</v>
      </c>
      <c r="N674" s="9">
        <v>10528.64</v>
      </c>
      <c r="O674" s="8" t="s">
        <v>30</v>
      </c>
      <c r="P674" t="str">
        <f>TEXT(Table1[[#This Row],[Transaction_Date]],"mmm")</f>
        <v>May</v>
      </c>
      <c r="Q674" s="11">
        <v>45799</v>
      </c>
      <c r="R674" s="8" t="s">
        <v>1647</v>
      </c>
      <c r="S674" s="8" t="s">
        <v>54</v>
      </c>
      <c r="T674" s="9">
        <v>4237.51</v>
      </c>
      <c r="U674" t="s">
        <v>77</v>
      </c>
      <c r="V674" s="8" t="s">
        <v>62</v>
      </c>
      <c r="W674"/>
      <c r="X674"/>
    </row>
    <row r="675" spans="1:24" hidden="1" x14ac:dyDescent="0.3">
      <c r="A675" t="s">
        <v>1648</v>
      </c>
      <c r="B675" t="s">
        <v>1649</v>
      </c>
      <c r="C675">
        <v>33</v>
      </c>
      <c r="D675" t="s">
        <v>24</v>
      </c>
      <c r="E675" t="s">
        <v>25</v>
      </c>
      <c r="F675" t="s">
        <v>24</v>
      </c>
      <c r="G675" t="s">
        <v>26</v>
      </c>
      <c r="H675" s="8" t="s">
        <v>51</v>
      </c>
      <c r="I675" s="9">
        <v>69275.45</v>
      </c>
      <c r="J675" s="9">
        <v>10626.57</v>
      </c>
      <c r="K675" s="8" t="s">
        <v>74</v>
      </c>
      <c r="L675" s="10">
        <v>0</v>
      </c>
      <c r="M675" s="8" t="s">
        <v>75</v>
      </c>
      <c r="N675" s="9">
        <v>0</v>
      </c>
      <c r="O675" s="8" t="s">
        <v>30</v>
      </c>
      <c r="P675" t="str">
        <f>TEXT(Table1[[#This Row],[Transaction_Date]],"mmm")</f>
        <v>Nov</v>
      </c>
      <c r="Q675" s="11">
        <v>45967</v>
      </c>
      <c r="R675" s="8" t="s">
        <v>1650</v>
      </c>
      <c r="S675" s="8" t="s">
        <v>44</v>
      </c>
      <c r="T675" s="9">
        <v>2220.42</v>
      </c>
      <c r="U675" t="s">
        <v>77</v>
      </c>
      <c r="V675" s="8" t="s">
        <v>62</v>
      </c>
      <c r="W675"/>
      <c r="X675"/>
    </row>
    <row r="676" spans="1:24" x14ac:dyDescent="0.3">
      <c r="A676" t="s">
        <v>1651</v>
      </c>
      <c r="B676" t="s">
        <v>574</v>
      </c>
      <c r="C676">
        <v>36</v>
      </c>
      <c r="D676" t="s">
        <v>24</v>
      </c>
      <c r="E676" t="s">
        <v>25</v>
      </c>
      <c r="F676" t="s">
        <v>24</v>
      </c>
      <c r="G676" t="s">
        <v>39</v>
      </c>
      <c r="H676" s="8" t="s">
        <v>27</v>
      </c>
      <c r="I676" s="9">
        <v>78271.62</v>
      </c>
      <c r="J676" s="9">
        <v>7470.18</v>
      </c>
      <c r="K676" s="8" t="s">
        <v>68</v>
      </c>
      <c r="L676" s="10">
        <v>40170.660000000003</v>
      </c>
      <c r="M676" s="8" t="s">
        <v>29</v>
      </c>
      <c r="N676" s="9">
        <v>13051.82</v>
      </c>
      <c r="O676" s="8" t="s">
        <v>30</v>
      </c>
      <c r="P676" t="str">
        <f>TEXT(Table1[[#This Row],[Transaction_Date]],"mmm")</f>
        <v>Jun</v>
      </c>
      <c r="Q676" s="11">
        <v>45830</v>
      </c>
      <c r="R676" s="8" t="s">
        <v>1652</v>
      </c>
      <c r="S676" s="8" t="s">
        <v>44</v>
      </c>
      <c r="T676" s="9">
        <v>1819.05</v>
      </c>
      <c r="U676" t="s">
        <v>45</v>
      </c>
      <c r="V676" s="8" t="s">
        <v>34</v>
      </c>
      <c r="W676"/>
      <c r="X676"/>
    </row>
    <row r="677" spans="1:24" x14ac:dyDescent="0.3">
      <c r="A677" t="s">
        <v>1653</v>
      </c>
      <c r="B677" t="s">
        <v>240</v>
      </c>
      <c r="C677">
        <v>27</v>
      </c>
      <c r="D677" t="s">
        <v>84</v>
      </c>
      <c r="E677" t="s">
        <v>85</v>
      </c>
      <c r="F677" t="s">
        <v>84</v>
      </c>
      <c r="G677" t="s">
        <v>39</v>
      </c>
      <c r="H677" s="8" t="s">
        <v>27</v>
      </c>
      <c r="I677" s="9">
        <v>42101.91</v>
      </c>
      <c r="J677" s="9">
        <v>60385.03</v>
      </c>
      <c r="K677" s="8" t="s">
        <v>74</v>
      </c>
      <c r="L677" s="10">
        <v>0</v>
      </c>
      <c r="M677" s="8" t="s">
        <v>75</v>
      </c>
      <c r="N677" s="9">
        <v>0</v>
      </c>
      <c r="O677" s="8" t="s">
        <v>30</v>
      </c>
      <c r="P677" t="str">
        <f>TEXT(Table1[[#This Row],[Transaction_Date]],"mmm")</f>
        <v>Nov</v>
      </c>
      <c r="Q677" s="11">
        <v>45968</v>
      </c>
      <c r="R677" s="8" t="s">
        <v>1654</v>
      </c>
      <c r="S677" s="8" t="s">
        <v>32</v>
      </c>
      <c r="T677" s="9">
        <v>2520.92</v>
      </c>
      <c r="U677" t="s">
        <v>77</v>
      </c>
      <c r="V677" s="8" t="s">
        <v>62</v>
      </c>
      <c r="W677"/>
      <c r="X677"/>
    </row>
    <row r="678" spans="1:24" x14ac:dyDescent="0.3">
      <c r="A678" t="s">
        <v>1655</v>
      </c>
      <c r="B678" t="s">
        <v>859</v>
      </c>
      <c r="C678">
        <v>45</v>
      </c>
      <c r="D678" t="s">
        <v>49</v>
      </c>
      <c r="E678" t="s">
        <v>50</v>
      </c>
      <c r="F678" t="s">
        <v>49</v>
      </c>
      <c r="G678" t="s">
        <v>39</v>
      </c>
      <c r="H678" s="8" t="s">
        <v>27</v>
      </c>
      <c r="I678" s="9">
        <v>72219.490000000005</v>
      </c>
      <c r="J678" s="9">
        <v>5380.46</v>
      </c>
      <c r="K678" s="8" t="s">
        <v>52</v>
      </c>
      <c r="L678" s="10">
        <v>79311.31</v>
      </c>
      <c r="M678" s="8" t="s">
        <v>29</v>
      </c>
      <c r="N678" s="9">
        <v>40414.85</v>
      </c>
      <c r="O678" s="8" t="s">
        <v>30</v>
      </c>
      <c r="P678" t="str">
        <f>TEXT(Table1[[#This Row],[Transaction_Date]],"mmm")</f>
        <v>Jul</v>
      </c>
      <c r="Q678" s="11">
        <v>45847</v>
      </c>
      <c r="R678" s="8" t="s">
        <v>1656</v>
      </c>
      <c r="S678" s="8" t="s">
        <v>54</v>
      </c>
      <c r="T678" s="9">
        <v>9585.16</v>
      </c>
      <c r="U678" t="s">
        <v>71</v>
      </c>
      <c r="V678" s="8" t="s">
        <v>46</v>
      </c>
      <c r="W678"/>
      <c r="X678"/>
    </row>
    <row r="679" spans="1:24" x14ac:dyDescent="0.3">
      <c r="A679" t="s">
        <v>1657</v>
      </c>
      <c r="B679" t="s">
        <v>218</v>
      </c>
      <c r="C679">
        <v>47</v>
      </c>
      <c r="D679" t="s">
        <v>84</v>
      </c>
      <c r="E679" t="s">
        <v>85</v>
      </c>
      <c r="F679" t="s">
        <v>84</v>
      </c>
      <c r="G679" t="s">
        <v>39</v>
      </c>
      <c r="H679" s="8" t="s">
        <v>51</v>
      </c>
      <c r="I679" s="9">
        <v>65966.28</v>
      </c>
      <c r="J679" s="9">
        <v>26368.78</v>
      </c>
      <c r="K679" s="8" t="s">
        <v>59</v>
      </c>
      <c r="L679" s="10">
        <v>82858.39</v>
      </c>
      <c r="M679" s="8" t="s">
        <v>29</v>
      </c>
      <c r="N679" s="9">
        <v>27189.58</v>
      </c>
      <c r="O679" s="8" t="s">
        <v>30</v>
      </c>
      <c r="P679" t="str">
        <f>TEXT(Table1[[#This Row],[Transaction_Date]],"mmm")</f>
        <v>Nov</v>
      </c>
      <c r="Q679" s="11">
        <v>45971</v>
      </c>
      <c r="R679" s="8" t="s">
        <v>1658</v>
      </c>
      <c r="S679" s="8" t="s">
        <v>44</v>
      </c>
      <c r="T679" s="9">
        <v>4105.67</v>
      </c>
      <c r="U679" t="s">
        <v>45</v>
      </c>
      <c r="V679" s="8" t="s">
        <v>46</v>
      </c>
      <c r="W679"/>
      <c r="X679"/>
    </row>
    <row r="680" spans="1:24" x14ac:dyDescent="0.3">
      <c r="A680" t="s">
        <v>1659</v>
      </c>
      <c r="B680" t="s">
        <v>1660</v>
      </c>
      <c r="C680">
        <v>47</v>
      </c>
      <c r="D680" t="s">
        <v>37</v>
      </c>
      <c r="E680" t="s">
        <v>38</v>
      </c>
      <c r="F680" t="s">
        <v>37</v>
      </c>
      <c r="G680" t="s">
        <v>39</v>
      </c>
      <c r="H680" s="8" t="s">
        <v>40</v>
      </c>
      <c r="I680" s="9">
        <v>33678.68</v>
      </c>
      <c r="J680" s="9">
        <v>4175.45</v>
      </c>
      <c r="K680" s="8" t="s">
        <v>74</v>
      </c>
      <c r="L680" s="10">
        <v>0</v>
      </c>
      <c r="M680" s="8" t="s">
        <v>75</v>
      </c>
      <c r="N680" s="9">
        <v>0</v>
      </c>
      <c r="O680" s="8" t="s">
        <v>30</v>
      </c>
      <c r="P680" t="str">
        <f>TEXT(Table1[[#This Row],[Transaction_Date]],"mmm")</f>
        <v>Oct</v>
      </c>
      <c r="Q680" s="11">
        <v>45947</v>
      </c>
      <c r="R680" s="8" t="s">
        <v>1661</v>
      </c>
      <c r="S680" s="8" t="s">
        <v>54</v>
      </c>
      <c r="T680" s="9">
        <v>4275.8</v>
      </c>
      <c r="U680" t="s">
        <v>45</v>
      </c>
      <c r="V680" s="8" t="s">
        <v>62</v>
      </c>
      <c r="W680"/>
      <c r="X680"/>
    </row>
    <row r="681" spans="1:24" hidden="1" x14ac:dyDescent="0.3">
      <c r="A681" t="s">
        <v>1662</v>
      </c>
      <c r="B681" t="s">
        <v>132</v>
      </c>
      <c r="C681">
        <v>38</v>
      </c>
      <c r="D681" t="s">
        <v>24</v>
      </c>
      <c r="E681" t="s">
        <v>25</v>
      </c>
      <c r="F681" t="s">
        <v>24</v>
      </c>
      <c r="G681" t="s">
        <v>26</v>
      </c>
      <c r="H681" s="8" t="s">
        <v>67</v>
      </c>
      <c r="I681" s="9">
        <v>25302.98</v>
      </c>
      <c r="J681" s="9">
        <v>42786.89</v>
      </c>
      <c r="K681" s="8" t="s">
        <v>28</v>
      </c>
      <c r="L681" s="10">
        <v>102166.73</v>
      </c>
      <c r="M681" s="8" t="s">
        <v>29</v>
      </c>
      <c r="N681" s="9">
        <v>85213.63</v>
      </c>
      <c r="O681" s="8" t="s">
        <v>30</v>
      </c>
      <c r="P681" t="str">
        <f>TEXT(Table1[[#This Row],[Transaction_Date]],"mmm")</f>
        <v>May</v>
      </c>
      <c r="Q681" s="11">
        <v>45793</v>
      </c>
      <c r="R681" s="8" t="s">
        <v>1663</v>
      </c>
      <c r="S681" s="8" t="s">
        <v>54</v>
      </c>
      <c r="T681" s="9">
        <v>2860.17</v>
      </c>
      <c r="U681" t="s">
        <v>106</v>
      </c>
      <c r="V681" s="8" t="s">
        <v>62</v>
      </c>
      <c r="W681"/>
      <c r="X681"/>
    </row>
    <row r="682" spans="1:24" x14ac:dyDescent="0.3">
      <c r="A682" t="s">
        <v>1664</v>
      </c>
      <c r="B682" t="s">
        <v>1065</v>
      </c>
      <c r="C682">
        <v>18</v>
      </c>
      <c r="D682" t="s">
        <v>97</v>
      </c>
      <c r="E682" t="s">
        <v>98</v>
      </c>
      <c r="F682" t="s">
        <v>97</v>
      </c>
      <c r="G682" t="s">
        <v>39</v>
      </c>
      <c r="H682" s="8" t="s">
        <v>40</v>
      </c>
      <c r="I682" s="9">
        <v>110733.46</v>
      </c>
      <c r="J682" s="9">
        <v>74673.7</v>
      </c>
      <c r="K682" s="8" t="s">
        <v>28</v>
      </c>
      <c r="L682" s="10">
        <v>40337.279999999999</v>
      </c>
      <c r="M682" s="8" t="s">
        <v>42</v>
      </c>
      <c r="N682" s="9">
        <v>0</v>
      </c>
      <c r="O682" s="8" t="s">
        <v>30</v>
      </c>
      <c r="P682" t="str">
        <f>TEXT(Table1[[#This Row],[Transaction_Date]],"mmm")</f>
        <v>Aug</v>
      </c>
      <c r="Q682" s="11">
        <v>45888</v>
      </c>
      <c r="R682" s="8" t="s">
        <v>1665</v>
      </c>
      <c r="S682" s="8" t="s">
        <v>44</v>
      </c>
      <c r="T682" s="9">
        <v>2151.11</v>
      </c>
      <c r="U682" t="s">
        <v>61</v>
      </c>
      <c r="V682" s="8" t="s">
        <v>62</v>
      </c>
      <c r="W682"/>
      <c r="X682"/>
    </row>
    <row r="683" spans="1:24" x14ac:dyDescent="0.3">
      <c r="A683" t="s">
        <v>1666</v>
      </c>
      <c r="B683" t="s">
        <v>111</v>
      </c>
      <c r="C683">
        <v>37</v>
      </c>
      <c r="D683" t="s">
        <v>57</v>
      </c>
      <c r="E683" t="s">
        <v>58</v>
      </c>
      <c r="F683" t="s">
        <v>57</v>
      </c>
      <c r="G683" t="s">
        <v>39</v>
      </c>
      <c r="H683" s="8" t="s">
        <v>40</v>
      </c>
      <c r="I683" s="9">
        <v>53750.65</v>
      </c>
      <c r="J683" s="9">
        <v>148135.07999999999</v>
      </c>
      <c r="K683" s="8" t="s">
        <v>41</v>
      </c>
      <c r="L683" s="10">
        <v>30704.77</v>
      </c>
      <c r="M683" s="8" t="s">
        <v>29</v>
      </c>
      <c r="N683" s="9">
        <v>10939.73</v>
      </c>
      <c r="O683" s="8" t="s">
        <v>30</v>
      </c>
      <c r="P683" t="str">
        <f>TEXT(Table1[[#This Row],[Transaction_Date]],"mmm")</f>
        <v>Nov</v>
      </c>
      <c r="Q683" s="11">
        <v>45990</v>
      </c>
      <c r="R683" s="8" t="s">
        <v>1667</v>
      </c>
      <c r="S683" s="8" t="s">
        <v>44</v>
      </c>
      <c r="T683" s="9">
        <v>2315.56</v>
      </c>
      <c r="U683" t="s">
        <v>106</v>
      </c>
      <c r="V683" s="8" t="s">
        <v>46</v>
      </c>
      <c r="W683"/>
      <c r="X683"/>
    </row>
    <row r="684" spans="1:24" x14ac:dyDescent="0.3">
      <c r="A684" t="s">
        <v>1668</v>
      </c>
      <c r="B684" t="s">
        <v>304</v>
      </c>
      <c r="C684">
        <v>47</v>
      </c>
      <c r="D684" t="s">
        <v>84</v>
      </c>
      <c r="E684" t="s">
        <v>85</v>
      </c>
      <c r="F684" t="s">
        <v>84</v>
      </c>
      <c r="G684" t="s">
        <v>39</v>
      </c>
      <c r="H684" s="8" t="s">
        <v>67</v>
      </c>
      <c r="I684" s="9">
        <v>12000</v>
      </c>
      <c r="J684" s="9">
        <v>29723.33</v>
      </c>
      <c r="K684" s="8" t="s">
        <v>28</v>
      </c>
      <c r="L684" s="10">
        <v>52144.98</v>
      </c>
      <c r="M684" s="8" t="s">
        <v>29</v>
      </c>
      <c r="N684" s="9">
        <v>21799.62</v>
      </c>
      <c r="O684" s="8" t="s">
        <v>30</v>
      </c>
      <c r="P684" t="str">
        <f>TEXT(Table1[[#This Row],[Transaction_Date]],"mmm")</f>
        <v>Jul</v>
      </c>
      <c r="Q684" s="11">
        <v>45865</v>
      </c>
      <c r="R684" s="8" t="s">
        <v>1669</v>
      </c>
      <c r="S684" s="8" t="s">
        <v>54</v>
      </c>
      <c r="T684" s="9">
        <v>3396.95</v>
      </c>
      <c r="U684" t="s">
        <v>77</v>
      </c>
      <c r="V684" s="8" t="s">
        <v>34</v>
      </c>
      <c r="W684"/>
      <c r="X684"/>
    </row>
    <row r="685" spans="1:24" hidden="1" x14ac:dyDescent="0.3">
      <c r="A685" t="s">
        <v>1670</v>
      </c>
      <c r="B685" t="s">
        <v>173</v>
      </c>
      <c r="C685">
        <v>20</v>
      </c>
      <c r="D685" t="s">
        <v>97</v>
      </c>
      <c r="E685" t="s">
        <v>98</v>
      </c>
      <c r="F685" t="s">
        <v>97</v>
      </c>
      <c r="G685" t="s">
        <v>26</v>
      </c>
      <c r="H685" s="8" t="s">
        <v>51</v>
      </c>
      <c r="I685" s="9">
        <v>78734.429999999993</v>
      </c>
      <c r="J685" s="9">
        <v>26923.89</v>
      </c>
      <c r="K685" s="8" t="s">
        <v>28</v>
      </c>
      <c r="L685" s="10">
        <v>25150.07</v>
      </c>
      <c r="M685" s="8" t="s">
        <v>42</v>
      </c>
      <c r="N685" s="9">
        <v>0</v>
      </c>
      <c r="O685" s="8" t="s">
        <v>30</v>
      </c>
      <c r="P685" t="str">
        <f>TEXT(Table1[[#This Row],[Transaction_Date]],"mmm")</f>
        <v>Sep</v>
      </c>
      <c r="Q685" s="11">
        <v>45906</v>
      </c>
      <c r="R685" s="8" t="s">
        <v>1671</v>
      </c>
      <c r="S685" s="8" t="s">
        <v>44</v>
      </c>
      <c r="T685" s="9">
        <v>6038.86</v>
      </c>
      <c r="U685" t="s">
        <v>77</v>
      </c>
      <c r="V685" s="8" t="s">
        <v>62</v>
      </c>
      <c r="W685"/>
      <c r="X685"/>
    </row>
    <row r="686" spans="1:24" x14ac:dyDescent="0.3">
      <c r="A686" t="s">
        <v>1672</v>
      </c>
      <c r="B686" t="s">
        <v>406</v>
      </c>
      <c r="C686">
        <v>47</v>
      </c>
      <c r="D686" t="s">
        <v>97</v>
      </c>
      <c r="E686" t="s">
        <v>98</v>
      </c>
      <c r="F686" t="s">
        <v>97</v>
      </c>
      <c r="G686" t="s">
        <v>39</v>
      </c>
      <c r="H686" s="8" t="s">
        <v>67</v>
      </c>
      <c r="I686" s="9">
        <v>12000</v>
      </c>
      <c r="J686" s="9">
        <v>54764.38</v>
      </c>
      <c r="K686" s="8" t="s">
        <v>52</v>
      </c>
      <c r="L686" s="10">
        <v>25000</v>
      </c>
      <c r="M686" s="8" t="s">
        <v>42</v>
      </c>
      <c r="N686" s="9">
        <v>0</v>
      </c>
      <c r="O686" s="8" t="s">
        <v>30</v>
      </c>
      <c r="P686" t="str">
        <f>TEXT(Table1[[#This Row],[Transaction_Date]],"mmm")</f>
        <v>Jun</v>
      </c>
      <c r="Q686" s="11">
        <v>45824</v>
      </c>
      <c r="R686" s="8" t="s">
        <v>1673</v>
      </c>
      <c r="S686" s="8" t="s">
        <v>32</v>
      </c>
      <c r="T686" s="9">
        <v>355.68</v>
      </c>
      <c r="U686" t="s">
        <v>71</v>
      </c>
      <c r="V686" s="8" t="s">
        <v>46</v>
      </c>
      <c r="W686"/>
      <c r="X686"/>
    </row>
    <row r="687" spans="1:24" x14ac:dyDescent="0.3">
      <c r="A687" t="s">
        <v>1674</v>
      </c>
      <c r="B687" t="s">
        <v>215</v>
      </c>
      <c r="C687">
        <v>23</v>
      </c>
      <c r="D687" t="s">
        <v>65</v>
      </c>
      <c r="E687" t="s">
        <v>66</v>
      </c>
      <c r="F687" t="s">
        <v>65</v>
      </c>
      <c r="G687" t="s">
        <v>39</v>
      </c>
      <c r="H687" s="8" t="s">
        <v>51</v>
      </c>
      <c r="I687" s="9">
        <v>41203.96</v>
      </c>
      <c r="J687" s="9">
        <v>32969.57</v>
      </c>
      <c r="K687" s="8" t="s">
        <v>52</v>
      </c>
      <c r="L687" s="10">
        <v>58064.62</v>
      </c>
      <c r="M687" s="8" t="s">
        <v>42</v>
      </c>
      <c r="N687" s="9">
        <v>0</v>
      </c>
      <c r="O687" s="8" t="s">
        <v>30</v>
      </c>
      <c r="P687" t="str">
        <f>TEXT(Table1[[#This Row],[Transaction_Date]],"mmm")</f>
        <v>Sep</v>
      </c>
      <c r="Q687" s="11">
        <v>45915</v>
      </c>
      <c r="R687" s="8" t="s">
        <v>1675</v>
      </c>
      <c r="S687" s="8" t="s">
        <v>70</v>
      </c>
      <c r="T687" s="9">
        <v>18956.3</v>
      </c>
      <c r="U687" t="s">
        <v>106</v>
      </c>
      <c r="V687" s="8" t="s">
        <v>62</v>
      </c>
      <c r="W687"/>
      <c r="X687"/>
    </row>
    <row r="688" spans="1:24" x14ac:dyDescent="0.3">
      <c r="A688" t="s">
        <v>1676</v>
      </c>
      <c r="B688" t="s">
        <v>706</v>
      </c>
      <c r="C688">
        <v>26</v>
      </c>
      <c r="D688" t="s">
        <v>84</v>
      </c>
      <c r="E688" t="s">
        <v>85</v>
      </c>
      <c r="F688" t="s">
        <v>84</v>
      </c>
      <c r="G688" t="s">
        <v>39</v>
      </c>
      <c r="H688" s="8" t="s">
        <v>40</v>
      </c>
      <c r="I688" s="9">
        <v>43778.59</v>
      </c>
      <c r="J688" s="9">
        <v>15678.73</v>
      </c>
      <c r="K688" s="8" t="s">
        <v>68</v>
      </c>
      <c r="L688" s="10">
        <v>74269.41</v>
      </c>
      <c r="M688" s="8" t="s">
        <v>29</v>
      </c>
      <c r="N688" s="9">
        <v>30744.45</v>
      </c>
      <c r="O688" s="8" t="s">
        <v>30</v>
      </c>
      <c r="P688" t="str">
        <f>TEXT(Table1[[#This Row],[Transaction_Date]],"mmm")</f>
        <v>Feb</v>
      </c>
      <c r="Q688" s="11">
        <v>45716</v>
      </c>
      <c r="R688" s="8" t="s">
        <v>1677</v>
      </c>
      <c r="S688" s="8" t="s">
        <v>44</v>
      </c>
      <c r="T688" s="9">
        <v>6893.64</v>
      </c>
      <c r="U688" t="s">
        <v>77</v>
      </c>
      <c r="V688" s="8" t="s">
        <v>62</v>
      </c>
      <c r="W688"/>
      <c r="X688"/>
    </row>
    <row r="689" spans="1:24" hidden="1" x14ac:dyDescent="0.3">
      <c r="A689" t="s">
        <v>1678</v>
      </c>
      <c r="B689" t="s">
        <v>64</v>
      </c>
      <c r="C689">
        <v>35</v>
      </c>
      <c r="D689" t="s">
        <v>97</v>
      </c>
      <c r="E689" t="s">
        <v>98</v>
      </c>
      <c r="F689" t="s">
        <v>97</v>
      </c>
      <c r="G689" t="s">
        <v>80</v>
      </c>
      <c r="H689" s="8" t="s">
        <v>40</v>
      </c>
      <c r="I689" s="9">
        <v>48660.69</v>
      </c>
      <c r="J689" s="9">
        <v>12345.45</v>
      </c>
      <c r="K689" s="8" t="s">
        <v>68</v>
      </c>
      <c r="L689" s="10">
        <v>67027.34</v>
      </c>
      <c r="M689" s="8" t="s">
        <v>42</v>
      </c>
      <c r="N689" s="9">
        <v>0</v>
      </c>
      <c r="O689" s="8" t="s">
        <v>30</v>
      </c>
      <c r="P689" t="str">
        <f>TEXT(Table1[[#This Row],[Transaction_Date]],"mmm")</f>
        <v>Jan</v>
      </c>
      <c r="Q689" s="11">
        <v>45671</v>
      </c>
      <c r="R689" s="8" t="s">
        <v>1679</v>
      </c>
      <c r="S689" s="8" t="s">
        <v>32</v>
      </c>
      <c r="T689" s="9">
        <v>1751</v>
      </c>
      <c r="U689" t="s">
        <v>106</v>
      </c>
      <c r="V689" s="8" t="s">
        <v>62</v>
      </c>
      <c r="W689"/>
      <c r="X689"/>
    </row>
    <row r="690" spans="1:24" x14ac:dyDescent="0.3">
      <c r="A690" t="s">
        <v>1680</v>
      </c>
      <c r="B690" t="s">
        <v>390</v>
      </c>
      <c r="C690">
        <v>36</v>
      </c>
      <c r="D690" t="s">
        <v>92</v>
      </c>
      <c r="E690" t="s">
        <v>93</v>
      </c>
      <c r="F690" t="s">
        <v>92</v>
      </c>
      <c r="G690" t="s">
        <v>39</v>
      </c>
      <c r="H690" s="8" t="s">
        <v>27</v>
      </c>
      <c r="I690" s="9">
        <v>52132.05</v>
      </c>
      <c r="J690" s="9">
        <v>30204.14</v>
      </c>
      <c r="K690" s="8" t="s">
        <v>52</v>
      </c>
      <c r="L690" s="10">
        <v>107362.96</v>
      </c>
      <c r="M690" s="8" t="s">
        <v>29</v>
      </c>
      <c r="N690" s="9">
        <v>62458.68</v>
      </c>
      <c r="O690" s="8" t="s">
        <v>228</v>
      </c>
      <c r="P690" t="str">
        <f>TEXT(Table1[[#This Row],[Transaction_Date]],"mmm")</f>
        <v>May</v>
      </c>
      <c r="Q690" s="11">
        <v>45780</v>
      </c>
      <c r="R690" s="8" t="s">
        <v>1681</v>
      </c>
      <c r="S690" s="8" t="s">
        <v>32</v>
      </c>
      <c r="T690" s="9">
        <v>679.31</v>
      </c>
      <c r="U690" t="s">
        <v>77</v>
      </c>
      <c r="V690" s="8" t="s">
        <v>62</v>
      </c>
      <c r="W690"/>
      <c r="X690"/>
    </row>
    <row r="691" spans="1:24" x14ac:dyDescent="0.3">
      <c r="A691" t="s">
        <v>1682</v>
      </c>
      <c r="B691" t="s">
        <v>79</v>
      </c>
      <c r="C691">
        <v>32</v>
      </c>
      <c r="D691" t="s">
        <v>92</v>
      </c>
      <c r="E691" t="s">
        <v>93</v>
      </c>
      <c r="F691" t="s">
        <v>92</v>
      </c>
      <c r="G691" t="s">
        <v>39</v>
      </c>
      <c r="H691" s="8" t="s">
        <v>51</v>
      </c>
      <c r="I691" s="9">
        <v>69291.41</v>
      </c>
      <c r="J691" s="9">
        <v>25275.57</v>
      </c>
      <c r="K691" s="8" t="s">
        <v>28</v>
      </c>
      <c r="L691" s="10">
        <v>35890.959999999999</v>
      </c>
      <c r="M691" s="8" t="s">
        <v>29</v>
      </c>
      <c r="N691" s="9">
        <v>13228.06</v>
      </c>
      <c r="O691" s="8" t="s">
        <v>30</v>
      </c>
      <c r="P691" t="str">
        <f>TEXT(Table1[[#This Row],[Transaction_Date]],"mmm")</f>
        <v>Jul</v>
      </c>
      <c r="Q691" s="11">
        <v>45847</v>
      </c>
      <c r="R691" s="8" t="s">
        <v>1683</v>
      </c>
      <c r="S691" s="8" t="s">
        <v>70</v>
      </c>
      <c r="T691" s="9">
        <v>3746.45</v>
      </c>
      <c r="U691" t="s">
        <v>71</v>
      </c>
      <c r="V691" s="8" t="s">
        <v>62</v>
      </c>
      <c r="W691"/>
      <c r="X691"/>
    </row>
    <row r="692" spans="1:24" x14ac:dyDescent="0.3">
      <c r="A692" t="s">
        <v>1684</v>
      </c>
      <c r="B692" t="s">
        <v>823</v>
      </c>
      <c r="C692">
        <v>30</v>
      </c>
      <c r="D692" t="s">
        <v>92</v>
      </c>
      <c r="E692" t="s">
        <v>93</v>
      </c>
      <c r="F692" t="s">
        <v>92</v>
      </c>
      <c r="G692" t="s">
        <v>39</v>
      </c>
      <c r="H692" s="8" t="s">
        <v>40</v>
      </c>
      <c r="I692" s="9">
        <v>71657.89</v>
      </c>
      <c r="J692" s="9">
        <v>119010.06</v>
      </c>
      <c r="K692" s="8" t="s">
        <v>41</v>
      </c>
      <c r="L692" s="10">
        <v>81864.56</v>
      </c>
      <c r="M692" s="8" t="s">
        <v>29</v>
      </c>
      <c r="N692" s="9">
        <v>62453.9</v>
      </c>
      <c r="O692" s="8" t="s">
        <v>30</v>
      </c>
      <c r="P692" t="str">
        <f>TEXT(Table1[[#This Row],[Transaction_Date]],"mmm")</f>
        <v>Sep</v>
      </c>
      <c r="Q692" s="11">
        <v>45930</v>
      </c>
      <c r="R692" s="8" t="s">
        <v>1685</v>
      </c>
      <c r="S692" s="8" t="s">
        <v>54</v>
      </c>
      <c r="T692" s="9">
        <v>1559.05</v>
      </c>
      <c r="U692" t="s">
        <v>61</v>
      </c>
      <c r="V692" s="8" t="s">
        <v>62</v>
      </c>
      <c r="W692"/>
      <c r="X692"/>
    </row>
    <row r="693" spans="1:24" x14ac:dyDescent="0.3">
      <c r="A693" t="s">
        <v>1686</v>
      </c>
      <c r="B693" t="s">
        <v>418</v>
      </c>
      <c r="C693">
        <v>44</v>
      </c>
      <c r="D693" t="s">
        <v>92</v>
      </c>
      <c r="E693" t="s">
        <v>93</v>
      </c>
      <c r="F693" t="s">
        <v>92</v>
      </c>
      <c r="G693" t="s">
        <v>39</v>
      </c>
      <c r="H693" s="8" t="s">
        <v>51</v>
      </c>
      <c r="I693" s="9">
        <v>54990.11</v>
      </c>
      <c r="J693" s="9">
        <v>64036.480000000003</v>
      </c>
      <c r="K693" s="8" t="s">
        <v>68</v>
      </c>
      <c r="L693" s="10">
        <v>62284.85</v>
      </c>
      <c r="M693" s="8" t="s">
        <v>29</v>
      </c>
      <c r="N693" s="9">
        <v>12559</v>
      </c>
      <c r="O693" s="8" t="s">
        <v>228</v>
      </c>
      <c r="P693" t="str">
        <f>TEXT(Table1[[#This Row],[Transaction_Date]],"mmm")</f>
        <v>Jun</v>
      </c>
      <c r="Q693" s="11">
        <v>45833</v>
      </c>
      <c r="R693" s="8" t="s">
        <v>1687</v>
      </c>
      <c r="S693" s="8" t="s">
        <v>54</v>
      </c>
      <c r="T693" s="9">
        <v>11904.55</v>
      </c>
      <c r="U693" t="s">
        <v>33</v>
      </c>
      <c r="V693" s="8" t="s">
        <v>34</v>
      </c>
      <c r="W693"/>
      <c r="X693"/>
    </row>
    <row r="694" spans="1:24" hidden="1" x14ac:dyDescent="0.3">
      <c r="A694" t="s">
        <v>1688</v>
      </c>
      <c r="B694" t="s">
        <v>478</v>
      </c>
      <c r="C694">
        <v>27</v>
      </c>
      <c r="D694" t="s">
        <v>37</v>
      </c>
      <c r="E694" t="s">
        <v>38</v>
      </c>
      <c r="F694" t="s">
        <v>37</v>
      </c>
      <c r="G694" t="s">
        <v>26</v>
      </c>
      <c r="H694" s="8" t="s">
        <v>67</v>
      </c>
      <c r="I694" s="9">
        <v>12000</v>
      </c>
      <c r="J694" s="9">
        <v>74764.509999999995</v>
      </c>
      <c r="K694" s="8" t="s">
        <v>68</v>
      </c>
      <c r="L694" s="10">
        <v>25000</v>
      </c>
      <c r="M694" s="8" t="s">
        <v>42</v>
      </c>
      <c r="N694" s="9">
        <v>0</v>
      </c>
      <c r="O694" s="8" t="s">
        <v>30</v>
      </c>
      <c r="P694" t="str">
        <f>TEXT(Table1[[#This Row],[Transaction_Date]],"mmm")</f>
        <v>Jun</v>
      </c>
      <c r="Q694" s="11">
        <v>45814</v>
      </c>
      <c r="R694" s="8" t="s">
        <v>1689</v>
      </c>
      <c r="S694" s="8" t="s">
        <v>32</v>
      </c>
      <c r="T694" s="9">
        <v>3945.21</v>
      </c>
      <c r="U694" t="s">
        <v>45</v>
      </c>
      <c r="V694" s="8" t="s">
        <v>62</v>
      </c>
      <c r="W694"/>
      <c r="X694"/>
    </row>
    <row r="695" spans="1:24" x14ac:dyDescent="0.3">
      <c r="A695" t="s">
        <v>1690</v>
      </c>
      <c r="B695" t="s">
        <v>120</v>
      </c>
      <c r="C695">
        <v>32</v>
      </c>
      <c r="D695" t="s">
        <v>57</v>
      </c>
      <c r="E695" t="s">
        <v>58</v>
      </c>
      <c r="F695" t="s">
        <v>57</v>
      </c>
      <c r="G695" t="s">
        <v>39</v>
      </c>
      <c r="H695" s="8" t="s">
        <v>40</v>
      </c>
      <c r="I695" s="9">
        <v>31035.18</v>
      </c>
      <c r="J695" s="9">
        <v>10798.94</v>
      </c>
      <c r="K695" s="8" t="s">
        <v>74</v>
      </c>
      <c r="L695" s="10">
        <v>0</v>
      </c>
      <c r="M695" s="8" t="s">
        <v>75</v>
      </c>
      <c r="N695" s="9">
        <v>0</v>
      </c>
      <c r="O695" s="8" t="s">
        <v>30</v>
      </c>
      <c r="P695" t="str">
        <f>TEXT(Table1[[#This Row],[Transaction_Date]],"mmm")</f>
        <v>Jun</v>
      </c>
      <c r="Q695" s="11">
        <v>45817</v>
      </c>
      <c r="R695" s="8" t="s">
        <v>1691</v>
      </c>
      <c r="S695" s="8" t="s">
        <v>54</v>
      </c>
      <c r="T695" s="9">
        <v>24461.96</v>
      </c>
      <c r="U695" t="s">
        <v>33</v>
      </c>
      <c r="V695" s="8" t="s">
        <v>62</v>
      </c>
      <c r="W695"/>
      <c r="X695"/>
    </row>
    <row r="696" spans="1:24" hidden="1" x14ac:dyDescent="0.3">
      <c r="A696" t="s">
        <v>1692</v>
      </c>
      <c r="B696" t="s">
        <v>48</v>
      </c>
      <c r="C696">
        <v>31</v>
      </c>
      <c r="D696" t="s">
        <v>37</v>
      </c>
      <c r="E696" t="s">
        <v>38</v>
      </c>
      <c r="F696" t="s">
        <v>37</v>
      </c>
      <c r="G696" t="s">
        <v>80</v>
      </c>
      <c r="H696" s="8" t="s">
        <v>51</v>
      </c>
      <c r="I696" s="9">
        <v>69047.95</v>
      </c>
      <c r="J696" s="9">
        <v>12218.73</v>
      </c>
      <c r="K696" s="8" t="s">
        <v>74</v>
      </c>
      <c r="L696" s="10">
        <v>0</v>
      </c>
      <c r="M696" s="8" t="s">
        <v>75</v>
      </c>
      <c r="N696" s="9">
        <v>0</v>
      </c>
      <c r="O696" s="8" t="s">
        <v>30</v>
      </c>
      <c r="P696" t="str">
        <f>TEXT(Table1[[#This Row],[Transaction_Date]],"mmm")</f>
        <v>Aug</v>
      </c>
      <c r="Q696" s="11">
        <v>45880</v>
      </c>
      <c r="R696" s="8" t="s">
        <v>1693</v>
      </c>
      <c r="S696" s="8" t="s">
        <v>70</v>
      </c>
      <c r="T696" s="9">
        <v>16278.88</v>
      </c>
      <c r="U696" t="s">
        <v>33</v>
      </c>
      <c r="V696" s="8" t="s">
        <v>62</v>
      </c>
      <c r="W696"/>
      <c r="X696"/>
    </row>
    <row r="697" spans="1:24" hidden="1" x14ac:dyDescent="0.3">
      <c r="A697" t="s">
        <v>1694</v>
      </c>
      <c r="B697" t="s">
        <v>212</v>
      </c>
      <c r="C697">
        <v>34</v>
      </c>
      <c r="D697" t="s">
        <v>92</v>
      </c>
      <c r="E697" t="s">
        <v>93</v>
      </c>
      <c r="F697" t="s">
        <v>92</v>
      </c>
      <c r="G697" t="s">
        <v>80</v>
      </c>
      <c r="H697" s="8" t="s">
        <v>40</v>
      </c>
      <c r="I697" s="9">
        <v>56788.1</v>
      </c>
      <c r="J697" s="9">
        <v>10660.96</v>
      </c>
      <c r="K697" s="8" t="s">
        <v>52</v>
      </c>
      <c r="L697" s="10">
        <v>144948.32999999999</v>
      </c>
      <c r="M697" s="8" t="s">
        <v>29</v>
      </c>
      <c r="N697" s="9">
        <v>42211.44</v>
      </c>
      <c r="O697" s="8" t="s">
        <v>30</v>
      </c>
      <c r="P697" t="str">
        <f>TEXT(Table1[[#This Row],[Transaction_Date]],"mmm")</f>
        <v>Jan</v>
      </c>
      <c r="Q697" s="11">
        <v>45673</v>
      </c>
      <c r="R697" s="8" t="s">
        <v>1695</v>
      </c>
      <c r="S697" s="8" t="s">
        <v>32</v>
      </c>
      <c r="T697" s="9">
        <v>5357.56</v>
      </c>
      <c r="U697" t="s">
        <v>33</v>
      </c>
      <c r="V697" s="8" t="s">
        <v>62</v>
      </c>
      <c r="W697"/>
      <c r="X697"/>
    </row>
    <row r="698" spans="1:24" hidden="1" x14ac:dyDescent="0.3">
      <c r="A698" t="s">
        <v>1696</v>
      </c>
      <c r="B698" t="s">
        <v>88</v>
      </c>
      <c r="C698">
        <v>40</v>
      </c>
      <c r="D698" t="s">
        <v>65</v>
      </c>
      <c r="E698" t="s">
        <v>66</v>
      </c>
      <c r="F698" t="s">
        <v>65</v>
      </c>
      <c r="G698" t="s">
        <v>26</v>
      </c>
      <c r="H698" s="8" t="s">
        <v>27</v>
      </c>
      <c r="I698" s="9">
        <v>78873.91</v>
      </c>
      <c r="J698" s="9">
        <v>30139.200000000001</v>
      </c>
      <c r="K698" s="8" t="s">
        <v>59</v>
      </c>
      <c r="L698" s="10">
        <v>59939.87</v>
      </c>
      <c r="M698" s="8" t="s">
        <v>29</v>
      </c>
      <c r="N698" s="9">
        <v>40123.379999999997</v>
      </c>
      <c r="O698" s="8" t="s">
        <v>30</v>
      </c>
      <c r="P698" t="str">
        <f>TEXT(Table1[[#This Row],[Transaction_Date]],"mmm")</f>
        <v>Jul</v>
      </c>
      <c r="Q698" s="11">
        <v>45849</v>
      </c>
      <c r="R698" s="8" t="s">
        <v>1697</v>
      </c>
      <c r="S698" s="8" t="s">
        <v>44</v>
      </c>
      <c r="T698" s="9">
        <v>1367.83</v>
      </c>
      <c r="U698" t="s">
        <v>106</v>
      </c>
      <c r="V698" s="8" t="s">
        <v>62</v>
      </c>
      <c r="W698"/>
      <c r="X698"/>
    </row>
    <row r="699" spans="1:24" x14ac:dyDescent="0.3">
      <c r="A699" t="s">
        <v>1698</v>
      </c>
      <c r="B699" t="s">
        <v>950</v>
      </c>
      <c r="C699">
        <v>42</v>
      </c>
      <c r="D699" t="s">
        <v>84</v>
      </c>
      <c r="E699" t="s">
        <v>85</v>
      </c>
      <c r="F699" t="s">
        <v>84</v>
      </c>
      <c r="G699" t="s">
        <v>39</v>
      </c>
      <c r="H699" s="8" t="s">
        <v>67</v>
      </c>
      <c r="I699" s="9">
        <v>50355.77</v>
      </c>
      <c r="J699" s="9">
        <v>64326.92</v>
      </c>
      <c r="K699" s="8" t="s">
        <v>74</v>
      </c>
      <c r="L699" s="10">
        <v>0</v>
      </c>
      <c r="M699" s="8" t="s">
        <v>75</v>
      </c>
      <c r="N699" s="9">
        <v>0</v>
      </c>
      <c r="O699" s="8" t="s">
        <v>30</v>
      </c>
      <c r="P699" t="str">
        <f>TEXT(Table1[[#This Row],[Transaction_Date]],"mmm")</f>
        <v>Jul</v>
      </c>
      <c r="Q699" s="11">
        <v>45867</v>
      </c>
      <c r="R699" s="8" t="s">
        <v>1699</v>
      </c>
      <c r="S699" s="8" t="s">
        <v>54</v>
      </c>
      <c r="T699" s="9">
        <v>3170.38</v>
      </c>
      <c r="U699" t="s">
        <v>33</v>
      </c>
      <c r="V699" s="8" t="s">
        <v>62</v>
      </c>
      <c r="W699"/>
      <c r="X699"/>
    </row>
    <row r="700" spans="1:24" x14ac:dyDescent="0.3">
      <c r="A700" t="s">
        <v>1700</v>
      </c>
      <c r="B700" t="s">
        <v>338</v>
      </c>
      <c r="C700">
        <v>27</v>
      </c>
      <c r="D700" t="s">
        <v>57</v>
      </c>
      <c r="E700" t="s">
        <v>58</v>
      </c>
      <c r="F700" t="s">
        <v>57</v>
      </c>
      <c r="G700" t="s">
        <v>39</v>
      </c>
      <c r="H700" s="8" t="s">
        <v>27</v>
      </c>
      <c r="I700" s="9">
        <v>39608.78</v>
      </c>
      <c r="J700" s="9">
        <v>47248.33</v>
      </c>
      <c r="K700" s="8" t="s">
        <v>74</v>
      </c>
      <c r="L700" s="10">
        <v>0</v>
      </c>
      <c r="M700" s="8" t="s">
        <v>75</v>
      </c>
      <c r="N700" s="9">
        <v>0</v>
      </c>
      <c r="O700" s="8" t="s">
        <v>30</v>
      </c>
      <c r="P700" t="str">
        <f>TEXT(Table1[[#This Row],[Transaction_Date]],"mmm")</f>
        <v>Oct</v>
      </c>
      <c r="Q700" s="11">
        <v>45951</v>
      </c>
      <c r="R700" s="8" t="s">
        <v>1701</v>
      </c>
      <c r="S700" s="8" t="s">
        <v>70</v>
      </c>
      <c r="T700" s="9">
        <v>2417.83</v>
      </c>
      <c r="U700" t="s">
        <v>45</v>
      </c>
      <c r="V700" s="8" t="s">
        <v>62</v>
      </c>
      <c r="W700"/>
      <c r="X700"/>
    </row>
    <row r="701" spans="1:24" x14ac:dyDescent="0.3">
      <c r="A701" t="s">
        <v>1702</v>
      </c>
      <c r="B701" t="s">
        <v>1185</v>
      </c>
      <c r="C701">
        <v>23</v>
      </c>
      <c r="D701" t="s">
        <v>65</v>
      </c>
      <c r="E701" t="s">
        <v>66</v>
      </c>
      <c r="F701" t="s">
        <v>65</v>
      </c>
      <c r="G701" t="s">
        <v>39</v>
      </c>
      <c r="H701" s="8" t="s">
        <v>27</v>
      </c>
      <c r="I701" s="9">
        <v>45402.21</v>
      </c>
      <c r="J701" s="9">
        <v>41903.99</v>
      </c>
      <c r="K701" s="8" t="s">
        <v>59</v>
      </c>
      <c r="L701" s="10">
        <v>131411.32999999999</v>
      </c>
      <c r="M701" s="8" t="s">
        <v>29</v>
      </c>
      <c r="N701" s="9">
        <v>41350.589999999997</v>
      </c>
      <c r="O701" s="8" t="s">
        <v>30</v>
      </c>
      <c r="P701" t="str">
        <f>TEXT(Table1[[#This Row],[Transaction_Date]],"mmm")</f>
        <v>Dec</v>
      </c>
      <c r="Q701" s="11">
        <v>45995</v>
      </c>
      <c r="R701" s="8" t="s">
        <v>1703</v>
      </c>
      <c r="S701" s="8" t="s">
        <v>54</v>
      </c>
      <c r="T701" s="9">
        <v>4854.3500000000004</v>
      </c>
      <c r="U701" t="s">
        <v>71</v>
      </c>
      <c r="V701" s="8" t="s">
        <v>62</v>
      </c>
      <c r="W701"/>
      <c r="X701"/>
    </row>
    <row r="702" spans="1:24" x14ac:dyDescent="0.3">
      <c r="A702" t="s">
        <v>1704</v>
      </c>
      <c r="B702" t="s">
        <v>396</v>
      </c>
      <c r="C702">
        <v>18</v>
      </c>
      <c r="D702" t="s">
        <v>84</v>
      </c>
      <c r="E702" t="s">
        <v>85</v>
      </c>
      <c r="F702" t="s">
        <v>84</v>
      </c>
      <c r="G702" t="s">
        <v>39</v>
      </c>
      <c r="H702" s="8" t="s">
        <v>40</v>
      </c>
      <c r="I702" s="9">
        <v>48699.58</v>
      </c>
      <c r="J702" s="9">
        <v>60906.36</v>
      </c>
      <c r="K702" s="8" t="s">
        <v>28</v>
      </c>
      <c r="L702" s="10">
        <v>25594.27</v>
      </c>
      <c r="M702" s="8" t="s">
        <v>42</v>
      </c>
      <c r="N702" s="9">
        <v>0</v>
      </c>
      <c r="O702" s="8" t="s">
        <v>30</v>
      </c>
      <c r="P702" t="str">
        <f>TEXT(Table1[[#This Row],[Transaction_Date]],"mmm")</f>
        <v>Apr</v>
      </c>
      <c r="Q702" s="11">
        <v>45772</v>
      </c>
      <c r="R702" s="8" t="s">
        <v>1705</v>
      </c>
      <c r="S702" s="8" t="s">
        <v>54</v>
      </c>
      <c r="T702" s="9">
        <v>7426.22</v>
      </c>
      <c r="U702" t="s">
        <v>71</v>
      </c>
      <c r="V702" s="8" t="s">
        <v>62</v>
      </c>
      <c r="W702"/>
      <c r="X702"/>
    </row>
    <row r="703" spans="1:24" hidden="1" x14ac:dyDescent="0.3">
      <c r="A703" t="s">
        <v>1706</v>
      </c>
      <c r="B703" t="s">
        <v>460</v>
      </c>
      <c r="C703">
        <v>31</v>
      </c>
      <c r="D703" t="s">
        <v>24</v>
      </c>
      <c r="E703" t="s">
        <v>25</v>
      </c>
      <c r="F703" t="s">
        <v>24</v>
      </c>
      <c r="G703" t="s">
        <v>80</v>
      </c>
      <c r="H703" s="8" t="s">
        <v>67</v>
      </c>
      <c r="I703" s="9">
        <v>12000</v>
      </c>
      <c r="J703" s="9">
        <v>135794.82999999999</v>
      </c>
      <c r="K703" s="8" t="s">
        <v>59</v>
      </c>
      <c r="L703" s="10">
        <v>100670.83</v>
      </c>
      <c r="M703" s="8" t="s">
        <v>42</v>
      </c>
      <c r="N703" s="9">
        <v>0</v>
      </c>
      <c r="O703" s="8" t="s">
        <v>30</v>
      </c>
      <c r="P703" t="str">
        <f>TEXT(Table1[[#This Row],[Transaction_Date]],"mmm")</f>
        <v>Apr</v>
      </c>
      <c r="Q703" s="11">
        <v>45763</v>
      </c>
      <c r="R703" s="8" t="s">
        <v>1707</v>
      </c>
      <c r="S703" s="8" t="s">
        <v>32</v>
      </c>
      <c r="T703" s="9">
        <v>979.64</v>
      </c>
      <c r="U703" t="s">
        <v>45</v>
      </c>
      <c r="V703" s="8" t="s">
        <v>62</v>
      </c>
      <c r="W703"/>
      <c r="X703"/>
    </row>
    <row r="704" spans="1:24" hidden="1" x14ac:dyDescent="0.3">
      <c r="A704" t="s">
        <v>1708</v>
      </c>
      <c r="B704" t="s">
        <v>832</v>
      </c>
      <c r="C704">
        <v>27</v>
      </c>
      <c r="D704" t="s">
        <v>92</v>
      </c>
      <c r="E704" t="s">
        <v>93</v>
      </c>
      <c r="F704" t="s">
        <v>92</v>
      </c>
      <c r="G704" t="s">
        <v>51</v>
      </c>
      <c r="H704" s="8" t="s">
        <v>40</v>
      </c>
      <c r="I704" s="9">
        <v>50755.01</v>
      </c>
      <c r="J704" s="9">
        <v>25320.21</v>
      </c>
      <c r="K704" s="8" t="s">
        <v>74</v>
      </c>
      <c r="L704" s="10">
        <v>0</v>
      </c>
      <c r="M704" s="8" t="s">
        <v>75</v>
      </c>
      <c r="N704" s="9">
        <v>0</v>
      </c>
      <c r="O704" s="8" t="s">
        <v>30</v>
      </c>
      <c r="P704" t="str">
        <f>TEXT(Table1[[#This Row],[Transaction_Date]],"mmm")</f>
        <v>Jan</v>
      </c>
      <c r="Q704" s="11">
        <v>45666</v>
      </c>
      <c r="R704" s="8" t="s">
        <v>1709</v>
      </c>
      <c r="S704" s="8" t="s">
        <v>44</v>
      </c>
      <c r="T704" s="9">
        <v>860.91</v>
      </c>
      <c r="U704" t="s">
        <v>33</v>
      </c>
      <c r="V704" s="8" t="s">
        <v>62</v>
      </c>
      <c r="W704"/>
      <c r="X704"/>
    </row>
    <row r="705" spans="1:24" x14ac:dyDescent="0.3">
      <c r="A705" t="s">
        <v>1710</v>
      </c>
      <c r="B705" t="s">
        <v>412</v>
      </c>
      <c r="C705">
        <v>22</v>
      </c>
      <c r="D705" t="s">
        <v>37</v>
      </c>
      <c r="E705" t="s">
        <v>38</v>
      </c>
      <c r="F705" t="s">
        <v>37</v>
      </c>
      <c r="G705" t="s">
        <v>39</v>
      </c>
      <c r="H705" s="8" t="s">
        <v>67</v>
      </c>
      <c r="I705" s="9">
        <v>12000</v>
      </c>
      <c r="J705" s="9">
        <v>31589.77</v>
      </c>
      <c r="K705" s="8" t="s">
        <v>28</v>
      </c>
      <c r="L705" s="10">
        <v>47260.42</v>
      </c>
      <c r="M705" s="8" t="s">
        <v>42</v>
      </c>
      <c r="N705" s="9">
        <v>0</v>
      </c>
      <c r="O705" s="8" t="s">
        <v>30</v>
      </c>
      <c r="P705" t="str">
        <f>TEXT(Table1[[#This Row],[Transaction_Date]],"mmm")</f>
        <v>Jul</v>
      </c>
      <c r="Q705" s="11">
        <v>45851</v>
      </c>
      <c r="R705" s="8" t="s">
        <v>1711</v>
      </c>
      <c r="S705" s="8" t="s">
        <v>44</v>
      </c>
      <c r="T705" s="9">
        <v>846.64</v>
      </c>
      <c r="U705" t="s">
        <v>71</v>
      </c>
      <c r="V705" s="8" t="s">
        <v>62</v>
      </c>
      <c r="W705"/>
      <c r="X705"/>
    </row>
    <row r="706" spans="1:24" x14ac:dyDescent="0.3">
      <c r="A706" t="s">
        <v>1712</v>
      </c>
      <c r="B706" t="s">
        <v>787</v>
      </c>
      <c r="C706">
        <v>47</v>
      </c>
      <c r="D706" t="s">
        <v>57</v>
      </c>
      <c r="E706" t="s">
        <v>58</v>
      </c>
      <c r="F706" t="s">
        <v>57</v>
      </c>
      <c r="G706" t="s">
        <v>39</v>
      </c>
      <c r="H706" s="8" t="s">
        <v>40</v>
      </c>
      <c r="I706" s="9">
        <v>39615.120000000003</v>
      </c>
      <c r="J706" s="9">
        <v>19205.54</v>
      </c>
      <c r="K706" s="8" t="s">
        <v>59</v>
      </c>
      <c r="L706" s="10">
        <v>82737.240000000005</v>
      </c>
      <c r="M706" s="8" t="s">
        <v>29</v>
      </c>
      <c r="N706" s="9">
        <v>42085.69</v>
      </c>
      <c r="O706" s="8" t="s">
        <v>30</v>
      </c>
      <c r="P706" t="str">
        <f>TEXT(Table1[[#This Row],[Transaction_Date]],"mmm")</f>
        <v>Apr</v>
      </c>
      <c r="Q706" s="11">
        <v>45753</v>
      </c>
      <c r="R706" s="8" t="s">
        <v>1713</v>
      </c>
      <c r="S706" s="8" t="s">
        <v>54</v>
      </c>
      <c r="T706" s="9">
        <v>13235.88</v>
      </c>
      <c r="U706" t="s">
        <v>106</v>
      </c>
      <c r="V706" s="8" t="s">
        <v>62</v>
      </c>
      <c r="W706"/>
      <c r="X706"/>
    </row>
    <row r="707" spans="1:24" x14ac:dyDescent="0.3">
      <c r="A707" t="s">
        <v>1714</v>
      </c>
      <c r="B707" t="s">
        <v>439</v>
      </c>
      <c r="C707">
        <v>25</v>
      </c>
      <c r="D707" t="s">
        <v>92</v>
      </c>
      <c r="E707" t="s">
        <v>93</v>
      </c>
      <c r="F707" t="s">
        <v>92</v>
      </c>
      <c r="G707" t="s">
        <v>39</v>
      </c>
      <c r="H707" s="8" t="s">
        <v>51</v>
      </c>
      <c r="I707" s="9">
        <v>83021.52</v>
      </c>
      <c r="J707" s="9">
        <v>60897.39</v>
      </c>
      <c r="K707" s="8" t="s">
        <v>68</v>
      </c>
      <c r="L707" s="10">
        <v>132005.01999999999</v>
      </c>
      <c r="M707" s="8" t="s">
        <v>29</v>
      </c>
      <c r="N707" s="9">
        <v>112574.95</v>
      </c>
      <c r="O707" s="8" t="s">
        <v>30</v>
      </c>
      <c r="P707" t="str">
        <f>TEXT(Table1[[#This Row],[Transaction_Date]],"mmm")</f>
        <v>Sep</v>
      </c>
      <c r="Q707" s="11">
        <v>45928</v>
      </c>
      <c r="R707" s="8" t="s">
        <v>1715</v>
      </c>
      <c r="S707" s="8" t="s">
        <v>70</v>
      </c>
      <c r="T707" s="9">
        <v>4213.51</v>
      </c>
      <c r="U707" t="s">
        <v>45</v>
      </c>
      <c r="V707" s="8" t="s">
        <v>62</v>
      </c>
      <c r="W707"/>
      <c r="X707"/>
    </row>
    <row r="708" spans="1:24" x14ac:dyDescent="0.3">
      <c r="A708" t="s">
        <v>1716</v>
      </c>
      <c r="B708" t="s">
        <v>643</v>
      </c>
      <c r="C708">
        <v>39</v>
      </c>
      <c r="D708" t="s">
        <v>37</v>
      </c>
      <c r="E708" t="s">
        <v>38</v>
      </c>
      <c r="F708" t="s">
        <v>37</v>
      </c>
      <c r="G708" t="s">
        <v>39</v>
      </c>
      <c r="H708" s="8" t="s">
        <v>40</v>
      </c>
      <c r="I708" s="9">
        <v>74174.23</v>
      </c>
      <c r="J708" s="9">
        <v>47264.7</v>
      </c>
      <c r="K708" s="8" t="s">
        <v>74</v>
      </c>
      <c r="L708" s="10">
        <v>0</v>
      </c>
      <c r="M708" s="8" t="s">
        <v>75</v>
      </c>
      <c r="N708" s="9">
        <v>0</v>
      </c>
      <c r="O708" s="8" t="s">
        <v>30</v>
      </c>
      <c r="P708" t="str">
        <f>TEXT(Table1[[#This Row],[Transaction_Date]],"mmm")</f>
        <v>May</v>
      </c>
      <c r="Q708" s="11">
        <v>45803</v>
      </c>
      <c r="R708" s="8" t="s">
        <v>1717</v>
      </c>
      <c r="S708" s="8" t="s">
        <v>44</v>
      </c>
      <c r="T708" s="9">
        <v>3721.23</v>
      </c>
      <c r="U708" t="s">
        <v>61</v>
      </c>
      <c r="V708" s="8" t="s">
        <v>34</v>
      </c>
      <c r="W708"/>
      <c r="X708"/>
    </row>
    <row r="709" spans="1:24" hidden="1" x14ac:dyDescent="0.3">
      <c r="A709" t="s">
        <v>1718</v>
      </c>
      <c r="B709" t="s">
        <v>418</v>
      </c>
      <c r="C709">
        <v>44</v>
      </c>
      <c r="D709" t="s">
        <v>92</v>
      </c>
      <c r="E709" t="s">
        <v>93</v>
      </c>
      <c r="F709" t="s">
        <v>92</v>
      </c>
      <c r="G709" t="s">
        <v>51</v>
      </c>
      <c r="H709" s="8" t="s">
        <v>40</v>
      </c>
      <c r="I709" s="9">
        <v>43045.45</v>
      </c>
      <c r="J709" s="9">
        <v>28606.55</v>
      </c>
      <c r="K709" s="8" t="s">
        <v>59</v>
      </c>
      <c r="L709" s="10">
        <v>70108.800000000003</v>
      </c>
      <c r="M709" s="8" t="s">
        <v>29</v>
      </c>
      <c r="N709" s="9">
        <v>15808.03</v>
      </c>
      <c r="O709" s="8" t="s">
        <v>30</v>
      </c>
      <c r="P709" t="str">
        <f>TEXT(Table1[[#This Row],[Transaction_Date]],"mmm")</f>
        <v>Mar</v>
      </c>
      <c r="Q709" s="11">
        <v>45736</v>
      </c>
      <c r="R709" s="8" t="s">
        <v>1719</v>
      </c>
      <c r="S709" s="8" t="s">
        <v>44</v>
      </c>
      <c r="T709" s="9">
        <v>13182.75</v>
      </c>
      <c r="U709" t="s">
        <v>106</v>
      </c>
      <c r="V709" s="8" t="s">
        <v>34</v>
      </c>
      <c r="W709"/>
      <c r="X709"/>
    </row>
    <row r="710" spans="1:24" hidden="1" x14ac:dyDescent="0.3">
      <c r="A710" t="s">
        <v>1720</v>
      </c>
      <c r="B710" t="s">
        <v>157</v>
      </c>
      <c r="C710">
        <v>30</v>
      </c>
      <c r="D710" t="s">
        <v>49</v>
      </c>
      <c r="E710" t="s">
        <v>50</v>
      </c>
      <c r="F710" t="s">
        <v>49</v>
      </c>
      <c r="G710" t="s">
        <v>26</v>
      </c>
      <c r="H710" s="8" t="s">
        <v>51</v>
      </c>
      <c r="I710" s="9">
        <v>69599.149999999994</v>
      </c>
      <c r="J710" s="9">
        <v>98267.53</v>
      </c>
      <c r="K710" s="8" t="s">
        <v>74</v>
      </c>
      <c r="L710" s="10">
        <v>0</v>
      </c>
      <c r="M710" s="8" t="s">
        <v>75</v>
      </c>
      <c r="N710" s="9">
        <v>0</v>
      </c>
      <c r="O710" s="8" t="s">
        <v>30</v>
      </c>
      <c r="P710" t="str">
        <f>TEXT(Table1[[#This Row],[Transaction_Date]],"mmm")</f>
        <v>Nov</v>
      </c>
      <c r="Q710" s="11">
        <v>45976</v>
      </c>
      <c r="R710" s="8" t="s">
        <v>1721</v>
      </c>
      <c r="S710" s="8" t="s">
        <v>54</v>
      </c>
      <c r="T710" s="9">
        <v>3929.31</v>
      </c>
      <c r="U710" t="s">
        <v>77</v>
      </c>
      <c r="V710" s="8" t="s">
        <v>34</v>
      </c>
      <c r="W710"/>
      <c r="X710"/>
    </row>
    <row r="711" spans="1:24" x14ac:dyDescent="0.3">
      <c r="A711" t="s">
        <v>1722</v>
      </c>
      <c r="B711" t="s">
        <v>200</v>
      </c>
      <c r="C711">
        <v>46</v>
      </c>
      <c r="D711" t="s">
        <v>92</v>
      </c>
      <c r="E711" t="s">
        <v>93</v>
      </c>
      <c r="F711" t="s">
        <v>92</v>
      </c>
      <c r="G711" t="s">
        <v>39</v>
      </c>
      <c r="H711" s="8" t="s">
        <v>40</v>
      </c>
      <c r="I711" s="9">
        <v>57605.62</v>
      </c>
      <c r="J711" s="9">
        <v>58743.87</v>
      </c>
      <c r="K711" s="8" t="s">
        <v>74</v>
      </c>
      <c r="L711" s="10">
        <v>0</v>
      </c>
      <c r="M711" s="8" t="s">
        <v>75</v>
      </c>
      <c r="N711" s="9">
        <v>0</v>
      </c>
      <c r="O711" s="8" t="s">
        <v>30</v>
      </c>
      <c r="P711" t="str">
        <f>TEXT(Table1[[#This Row],[Transaction_Date]],"mmm")</f>
        <v>Nov</v>
      </c>
      <c r="Q711" s="11">
        <v>45987</v>
      </c>
      <c r="R711" s="8" t="s">
        <v>1723</v>
      </c>
      <c r="S711" s="8" t="s">
        <v>44</v>
      </c>
      <c r="T711" s="9">
        <v>571.74</v>
      </c>
      <c r="U711" t="s">
        <v>77</v>
      </c>
      <c r="V711" s="8" t="s">
        <v>62</v>
      </c>
      <c r="W711"/>
      <c r="X711"/>
    </row>
    <row r="712" spans="1:24" hidden="1" x14ac:dyDescent="0.3">
      <c r="A712" t="s">
        <v>1724</v>
      </c>
      <c r="B712" t="s">
        <v>1045</v>
      </c>
      <c r="C712">
        <v>32</v>
      </c>
      <c r="D712" t="s">
        <v>24</v>
      </c>
      <c r="E712" t="s">
        <v>25</v>
      </c>
      <c r="F712" t="s">
        <v>24</v>
      </c>
      <c r="G712" t="s">
        <v>80</v>
      </c>
      <c r="H712" s="8" t="s">
        <v>40</v>
      </c>
      <c r="I712" s="9">
        <v>12000</v>
      </c>
      <c r="J712" s="9">
        <v>26753.29</v>
      </c>
      <c r="K712" s="8" t="s">
        <v>59</v>
      </c>
      <c r="L712" s="10">
        <v>25000</v>
      </c>
      <c r="M712" s="8" t="s">
        <v>42</v>
      </c>
      <c r="N712" s="9">
        <v>0</v>
      </c>
      <c r="O712" s="8" t="s">
        <v>30</v>
      </c>
      <c r="P712" t="str">
        <f>TEXT(Table1[[#This Row],[Transaction_Date]],"mmm")</f>
        <v>Mar</v>
      </c>
      <c r="Q712" s="11">
        <v>45740</v>
      </c>
      <c r="R712" s="8" t="s">
        <v>1725</v>
      </c>
      <c r="S712" s="8" t="s">
        <v>32</v>
      </c>
      <c r="T712" s="9">
        <v>2652.51</v>
      </c>
      <c r="U712" t="s">
        <v>33</v>
      </c>
      <c r="V712" s="8" t="s">
        <v>62</v>
      </c>
      <c r="W712"/>
      <c r="X712"/>
    </row>
    <row r="713" spans="1:24" x14ac:dyDescent="0.3">
      <c r="A713" t="s">
        <v>1726</v>
      </c>
      <c r="B713" t="s">
        <v>379</v>
      </c>
      <c r="C713">
        <v>57</v>
      </c>
      <c r="D713" t="s">
        <v>37</v>
      </c>
      <c r="E713" t="s">
        <v>38</v>
      </c>
      <c r="F713" t="s">
        <v>37</v>
      </c>
      <c r="G713" t="s">
        <v>39</v>
      </c>
      <c r="H713" s="8" t="s">
        <v>40</v>
      </c>
      <c r="I713" s="9">
        <v>87518.67</v>
      </c>
      <c r="J713" s="9">
        <v>31520.07</v>
      </c>
      <c r="K713" s="8" t="s">
        <v>68</v>
      </c>
      <c r="L713" s="10">
        <v>25000</v>
      </c>
      <c r="M713" s="8" t="s">
        <v>29</v>
      </c>
      <c r="N713" s="9">
        <v>12350.55</v>
      </c>
      <c r="O713" s="8" t="s">
        <v>228</v>
      </c>
      <c r="P713" t="str">
        <f>TEXT(Table1[[#This Row],[Transaction_Date]],"mmm")</f>
        <v>Jan</v>
      </c>
      <c r="Q713" s="11">
        <v>45676</v>
      </c>
      <c r="R713" s="8" t="s">
        <v>1727</v>
      </c>
      <c r="S713" s="8" t="s">
        <v>44</v>
      </c>
      <c r="T713" s="9">
        <v>4092.58</v>
      </c>
      <c r="U713" t="s">
        <v>61</v>
      </c>
      <c r="V713" s="8" t="s">
        <v>34</v>
      </c>
      <c r="W713"/>
      <c r="X713"/>
    </row>
    <row r="714" spans="1:24" x14ac:dyDescent="0.3">
      <c r="A714" t="s">
        <v>1728</v>
      </c>
      <c r="B714" t="s">
        <v>1276</v>
      </c>
      <c r="C714">
        <v>39</v>
      </c>
      <c r="D714" t="s">
        <v>37</v>
      </c>
      <c r="E714" t="s">
        <v>38</v>
      </c>
      <c r="F714" t="s">
        <v>37</v>
      </c>
      <c r="G714" t="s">
        <v>39</v>
      </c>
      <c r="H714" s="8" t="s">
        <v>40</v>
      </c>
      <c r="I714" s="9">
        <v>55617.98</v>
      </c>
      <c r="J714" s="9">
        <v>21501.56</v>
      </c>
      <c r="K714" s="8" t="s">
        <v>74</v>
      </c>
      <c r="L714" s="10">
        <v>0</v>
      </c>
      <c r="M714" s="8" t="s">
        <v>75</v>
      </c>
      <c r="N714" s="9">
        <v>0</v>
      </c>
      <c r="O714" s="8" t="s">
        <v>30</v>
      </c>
      <c r="P714" t="str">
        <f>TEXT(Table1[[#This Row],[Transaction_Date]],"mmm")</f>
        <v>Jun</v>
      </c>
      <c r="Q714" s="11">
        <v>45836</v>
      </c>
      <c r="R714" s="8" t="s">
        <v>1729</v>
      </c>
      <c r="S714" s="8" t="s">
        <v>32</v>
      </c>
      <c r="T714" s="9">
        <v>3875.42</v>
      </c>
      <c r="U714" t="s">
        <v>77</v>
      </c>
      <c r="V714" s="8" t="s">
        <v>34</v>
      </c>
      <c r="W714"/>
      <c r="X714"/>
    </row>
    <row r="715" spans="1:24" x14ac:dyDescent="0.3">
      <c r="A715" t="s">
        <v>1730</v>
      </c>
      <c r="B715" t="s">
        <v>1412</v>
      </c>
      <c r="C715">
        <v>33</v>
      </c>
      <c r="D715" t="s">
        <v>37</v>
      </c>
      <c r="E715" t="s">
        <v>38</v>
      </c>
      <c r="F715" t="s">
        <v>37</v>
      </c>
      <c r="G715" t="s">
        <v>39</v>
      </c>
      <c r="H715" s="8" t="s">
        <v>40</v>
      </c>
      <c r="I715" s="9">
        <v>26504.31</v>
      </c>
      <c r="J715" s="9">
        <v>52951.41</v>
      </c>
      <c r="K715" s="8" t="s">
        <v>52</v>
      </c>
      <c r="L715" s="10">
        <v>25000</v>
      </c>
      <c r="M715" s="8" t="s">
        <v>29</v>
      </c>
      <c r="N715" s="9">
        <v>13130.42</v>
      </c>
      <c r="O715" s="8" t="s">
        <v>30</v>
      </c>
      <c r="P715" t="str">
        <f>TEXT(Table1[[#This Row],[Transaction_Date]],"mmm")</f>
        <v>Jan</v>
      </c>
      <c r="Q715" s="11">
        <v>45670</v>
      </c>
      <c r="R715" s="8" t="s">
        <v>1731</v>
      </c>
      <c r="S715" s="8" t="s">
        <v>32</v>
      </c>
      <c r="T715" s="9">
        <v>3722.81</v>
      </c>
      <c r="U715" t="s">
        <v>71</v>
      </c>
      <c r="V715" s="8" t="s">
        <v>46</v>
      </c>
      <c r="W715"/>
      <c r="X715"/>
    </row>
    <row r="716" spans="1:24" x14ac:dyDescent="0.3">
      <c r="A716" t="s">
        <v>1732</v>
      </c>
      <c r="B716" t="s">
        <v>393</v>
      </c>
      <c r="C716">
        <v>31</v>
      </c>
      <c r="D716" t="s">
        <v>57</v>
      </c>
      <c r="E716" t="s">
        <v>58</v>
      </c>
      <c r="F716" t="s">
        <v>57</v>
      </c>
      <c r="G716" t="s">
        <v>39</v>
      </c>
      <c r="H716" s="8" t="s">
        <v>51</v>
      </c>
      <c r="I716" s="9">
        <v>71459.09</v>
      </c>
      <c r="J716" s="9">
        <v>9207.58</v>
      </c>
      <c r="K716" s="8" t="s">
        <v>41</v>
      </c>
      <c r="L716" s="10">
        <v>73151.17</v>
      </c>
      <c r="M716" s="8" t="s">
        <v>29</v>
      </c>
      <c r="N716" s="9">
        <v>37152.559999999998</v>
      </c>
      <c r="O716" s="8" t="s">
        <v>30</v>
      </c>
      <c r="P716" t="str">
        <f>TEXT(Table1[[#This Row],[Transaction_Date]],"mmm")</f>
        <v>Nov</v>
      </c>
      <c r="Q716" s="11">
        <v>45988</v>
      </c>
      <c r="R716" s="8" t="s">
        <v>1733</v>
      </c>
      <c r="S716" s="8" t="s">
        <v>44</v>
      </c>
      <c r="T716" s="9">
        <v>5169.38</v>
      </c>
      <c r="U716" t="s">
        <v>33</v>
      </c>
      <c r="V716" s="8" t="s">
        <v>62</v>
      </c>
      <c r="W716"/>
      <c r="X716"/>
    </row>
    <row r="717" spans="1:24" hidden="1" x14ac:dyDescent="0.3">
      <c r="A717" t="s">
        <v>1734</v>
      </c>
      <c r="B717" t="s">
        <v>1096</v>
      </c>
      <c r="C717">
        <v>60</v>
      </c>
      <c r="D717" t="s">
        <v>92</v>
      </c>
      <c r="E717" t="s">
        <v>93</v>
      </c>
      <c r="F717" t="s">
        <v>92</v>
      </c>
      <c r="G717" t="s">
        <v>80</v>
      </c>
      <c r="H717" s="8" t="s">
        <v>67</v>
      </c>
      <c r="I717" s="9">
        <v>29691.68</v>
      </c>
      <c r="J717" s="9">
        <v>10702.81</v>
      </c>
      <c r="K717" s="8" t="s">
        <v>74</v>
      </c>
      <c r="L717" s="10">
        <v>0</v>
      </c>
      <c r="M717" s="8" t="s">
        <v>75</v>
      </c>
      <c r="N717" s="9">
        <v>0</v>
      </c>
      <c r="O717" s="8" t="s">
        <v>30</v>
      </c>
      <c r="P717" t="str">
        <f>TEXT(Table1[[#This Row],[Transaction_Date]],"mmm")</f>
        <v>Apr</v>
      </c>
      <c r="Q717" s="11">
        <v>45762</v>
      </c>
      <c r="R717" s="8" t="s">
        <v>1735</v>
      </c>
      <c r="S717" s="8" t="s">
        <v>44</v>
      </c>
      <c r="T717" s="9">
        <v>2857.99</v>
      </c>
      <c r="U717" t="s">
        <v>45</v>
      </c>
      <c r="V717" s="8" t="s">
        <v>46</v>
      </c>
      <c r="W717"/>
      <c r="X717"/>
    </row>
    <row r="718" spans="1:24" x14ac:dyDescent="0.3">
      <c r="A718" t="s">
        <v>1736</v>
      </c>
      <c r="B718" t="s">
        <v>1131</v>
      </c>
      <c r="C718">
        <v>34</v>
      </c>
      <c r="D718" t="s">
        <v>65</v>
      </c>
      <c r="E718" t="s">
        <v>66</v>
      </c>
      <c r="F718" t="s">
        <v>65</v>
      </c>
      <c r="G718" t="s">
        <v>39</v>
      </c>
      <c r="H718" s="8" t="s">
        <v>67</v>
      </c>
      <c r="I718" s="9">
        <v>12000</v>
      </c>
      <c r="J718" s="9">
        <v>27134.25</v>
      </c>
      <c r="K718" s="8" t="s">
        <v>74</v>
      </c>
      <c r="L718" s="10">
        <v>0</v>
      </c>
      <c r="M718" s="8" t="s">
        <v>75</v>
      </c>
      <c r="N718" s="9">
        <v>0</v>
      </c>
      <c r="O718" s="8" t="s">
        <v>30</v>
      </c>
      <c r="P718" t="str">
        <f>TEXT(Table1[[#This Row],[Transaction_Date]],"mmm")</f>
        <v>Apr</v>
      </c>
      <c r="Q718" s="11">
        <v>45767</v>
      </c>
      <c r="R718" s="8" t="s">
        <v>1737</v>
      </c>
      <c r="S718" s="8" t="s">
        <v>32</v>
      </c>
      <c r="T718" s="9">
        <v>986.54</v>
      </c>
      <c r="U718" t="s">
        <v>61</v>
      </c>
      <c r="V718" s="8" t="s">
        <v>62</v>
      </c>
      <c r="W718"/>
      <c r="X718"/>
    </row>
    <row r="719" spans="1:24" x14ac:dyDescent="0.3">
      <c r="A719" t="s">
        <v>1738</v>
      </c>
      <c r="B719" t="s">
        <v>141</v>
      </c>
      <c r="C719">
        <v>51</v>
      </c>
      <c r="D719" t="s">
        <v>24</v>
      </c>
      <c r="E719" t="s">
        <v>25</v>
      </c>
      <c r="F719" t="s">
        <v>24</v>
      </c>
      <c r="G719" t="s">
        <v>39</v>
      </c>
      <c r="H719" s="8" t="s">
        <v>40</v>
      </c>
      <c r="I719" s="9">
        <v>30344.79</v>
      </c>
      <c r="J719" s="9">
        <v>14772.61</v>
      </c>
      <c r="K719" s="8" t="s">
        <v>41</v>
      </c>
      <c r="L719" s="10">
        <v>276782.43</v>
      </c>
      <c r="M719" s="8" t="s">
        <v>29</v>
      </c>
      <c r="N719" s="9">
        <v>113491.84</v>
      </c>
      <c r="O719" s="8" t="s">
        <v>30</v>
      </c>
      <c r="P719" t="str">
        <f>TEXT(Table1[[#This Row],[Transaction_Date]],"mmm")</f>
        <v>Jul</v>
      </c>
      <c r="Q719" s="11">
        <v>45858</v>
      </c>
      <c r="R719" s="8" t="s">
        <v>1739</v>
      </c>
      <c r="S719" s="8" t="s">
        <v>54</v>
      </c>
      <c r="T719" s="9">
        <v>16134.52</v>
      </c>
      <c r="U719" t="s">
        <v>71</v>
      </c>
      <c r="V719" s="8" t="s">
        <v>46</v>
      </c>
      <c r="W719"/>
      <c r="X719"/>
    </row>
    <row r="720" spans="1:24" x14ac:dyDescent="0.3">
      <c r="A720" t="s">
        <v>1740</v>
      </c>
      <c r="B720" t="s">
        <v>149</v>
      </c>
      <c r="C720">
        <v>18</v>
      </c>
      <c r="D720" t="s">
        <v>97</v>
      </c>
      <c r="E720" t="s">
        <v>98</v>
      </c>
      <c r="F720" t="s">
        <v>97</v>
      </c>
      <c r="G720" t="s">
        <v>39</v>
      </c>
      <c r="H720" s="8" t="s">
        <v>40</v>
      </c>
      <c r="I720" s="9">
        <v>74439.350000000006</v>
      </c>
      <c r="J720" s="9">
        <v>61395.09</v>
      </c>
      <c r="K720" s="8" t="s">
        <v>74</v>
      </c>
      <c r="L720" s="10">
        <v>0</v>
      </c>
      <c r="M720" s="8" t="s">
        <v>75</v>
      </c>
      <c r="N720" s="9">
        <v>0</v>
      </c>
      <c r="O720" s="8" t="s">
        <v>30</v>
      </c>
      <c r="P720" t="str">
        <f>TEXT(Table1[[#This Row],[Transaction_Date]],"mmm")</f>
        <v>Apr</v>
      </c>
      <c r="Q720" s="11">
        <v>45765</v>
      </c>
      <c r="R720" s="8" t="s">
        <v>1741</v>
      </c>
      <c r="S720" s="8" t="s">
        <v>44</v>
      </c>
      <c r="T720" s="9">
        <v>684.33</v>
      </c>
      <c r="U720" t="s">
        <v>77</v>
      </c>
      <c r="V720" s="8" t="s">
        <v>62</v>
      </c>
      <c r="W720"/>
      <c r="X720"/>
    </row>
    <row r="721" spans="1:24" hidden="1" x14ac:dyDescent="0.3">
      <c r="A721" t="s">
        <v>1742</v>
      </c>
      <c r="B721" t="s">
        <v>368</v>
      </c>
      <c r="C721">
        <v>46</v>
      </c>
      <c r="D721" t="s">
        <v>24</v>
      </c>
      <c r="E721" t="s">
        <v>25</v>
      </c>
      <c r="F721" t="s">
        <v>24</v>
      </c>
      <c r="G721" t="s">
        <v>26</v>
      </c>
      <c r="H721" s="8" t="s">
        <v>40</v>
      </c>
      <c r="I721" s="9">
        <v>80396.91</v>
      </c>
      <c r="J721" s="9">
        <v>16144.53</v>
      </c>
      <c r="K721" s="8" t="s">
        <v>52</v>
      </c>
      <c r="L721" s="10">
        <v>83101.62</v>
      </c>
      <c r="M721" s="8" t="s">
        <v>29</v>
      </c>
      <c r="N721" s="9">
        <v>78197.09</v>
      </c>
      <c r="O721" s="8" t="s">
        <v>30</v>
      </c>
      <c r="P721" t="str">
        <f>TEXT(Table1[[#This Row],[Transaction_Date]],"mmm")</f>
        <v>Jul</v>
      </c>
      <c r="Q721" s="11">
        <v>45855</v>
      </c>
      <c r="R721" s="8" t="s">
        <v>1743</v>
      </c>
      <c r="S721" s="8" t="s">
        <v>32</v>
      </c>
      <c r="T721" s="9">
        <v>758.65</v>
      </c>
      <c r="U721" t="s">
        <v>33</v>
      </c>
      <c r="V721" s="8" t="s">
        <v>46</v>
      </c>
      <c r="W721"/>
      <c r="X721"/>
    </row>
    <row r="722" spans="1:24" x14ac:dyDescent="0.3">
      <c r="A722" t="s">
        <v>1744</v>
      </c>
      <c r="B722" t="s">
        <v>950</v>
      </c>
      <c r="C722">
        <v>34</v>
      </c>
      <c r="D722" t="s">
        <v>84</v>
      </c>
      <c r="E722" t="s">
        <v>85</v>
      </c>
      <c r="F722" t="s">
        <v>84</v>
      </c>
      <c r="G722" t="s">
        <v>39</v>
      </c>
      <c r="H722" s="8" t="s">
        <v>27</v>
      </c>
      <c r="I722" s="9">
        <v>95759.34</v>
      </c>
      <c r="J722" s="9">
        <v>13056.76</v>
      </c>
      <c r="K722" s="8" t="s">
        <v>28</v>
      </c>
      <c r="L722" s="10">
        <v>34913.949999999997</v>
      </c>
      <c r="M722" s="8" t="s">
        <v>29</v>
      </c>
      <c r="N722" s="9">
        <v>27010.69</v>
      </c>
      <c r="O722" s="8" t="s">
        <v>228</v>
      </c>
      <c r="P722" t="str">
        <f>TEXT(Table1[[#This Row],[Transaction_Date]],"mmm")</f>
        <v>Jul</v>
      </c>
      <c r="Q722" s="11">
        <v>45857</v>
      </c>
      <c r="R722" s="8" t="s">
        <v>1745</v>
      </c>
      <c r="S722" s="8" t="s">
        <v>54</v>
      </c>
      <c r="T722" s="9">
        <v>3786.78</v>
      </c>
      <c r="U722" t="s">
        <v>45</v>
      </c>
      <c r="V722" s="8" t="s">
        <v>34</v>
      </c>
      <c r="W722"/>
      <c r="X722"/>
    </row>
    <row r="723" spans="1:24" hidden="1" x14ac:dyDescent="0.3">
      <c r="A723" t="s">
        <v>1746</v>
      </c>
      <c r="B723" t="s">
        <v>221</v>
      </c>
      <c r="C723">
        <v>32</v>
      </c>
      <c r="D723" t="s">
        <v>24</v>
      </c>
      <c r="E723" t="s">
        <v>25</v>
      </c>
      <c r="F723" t="s">
        <v>24</v>
      </c>
      <c r="G723" t="s">
        <v>26</v>
      </c>
      <c r="H723" s="8" t="s">
        <v>27</v>
      </c>
      <c r="I723" s="9">
        <v>44620.29</v>
      </c>
      <c r="J723" s="9">
        <v>6465.82</v>
      </c>
      <c r="K723" s="8" t="s">
        <v>74</v>
      </c>
      <c r="L723" s="10">
        <v>0</v>
      </c>
      <c r="M723" s="8" t="s">
        <v>75</v>
      </c>
      <c r="N723" s="9">
        <v>0</v>
      </c>
      <c r="O723" s="8" t="s">
        <v>30</v>
      </c>
      <c r="P723" t="str">
        <f>TEXT(Table1[[#This Row],[Transaction_Date]],"mmm")</f>
        <v>Dec</v>
      </c>
      <c r="Q723" s="11">
        <v>46014</v>
      </c>
      <c r="R723" s="8" t="s">
        <v>1747</v>
      </c>
      <c r="S723" s="8" t="s">
        <v>1527</v>
      </c>
      <c r="T723" s="9">
        <v>3161.35</v>
      </c>
      <c r="U723" t="s">
        <v>33</v>
      </c>
      <c r="V723" s="8" t="s">
        <v>62</v>
      </c>
      <c r="W723"/>
      <c r="X723"/>
    </row>
    <row r="724" spans="1:24" x14ac:dyDescent="0.3">
      <c r="A724" t="s">
        <v>1748</v>
      </c>
      <c r="B724" t="s">
        <v>812</v>
      </c>
      <c r="C724">
        <v>38</v>
      </c>
      <c r="D724" t="s">
        <v>49</v>
      </c>
      <c r="E724" t="s">
        <v>50</v>
      </c>
      <c r="F724" t="s">
        <v>49</v>
      </c>
      <c r="G724" t="s">
        <v>39</v>
      </c>
      <c r="H724" s="8" t="s">
        <v>51</v>
      </c>
      <c r="I724" s="9">
        <v>51819.05</v>
      </c>
      <c r="J724" s="9">
        <v>17719.75</v>
      </c>
      <c r="K724" s="8" t="s">
        <v>68</v>
      </c>
      <c r="L724" s="10">
        <v>190323.26</v>
      </c>
      <c r="M724" s="8" t="s">
        <v>29</v>
      </c>
      <c r="N724" s="9">
        <v>89608.9</v>
      </c>
      <c r="O724" s="8" t="s">
        <v>30</v>
      </c>
      <c r="P724" t="str">
        <f>TEXT(Table1[[#This Row],[Transaction_Date]],"mmm")</f>
        <v>Nov</v>
      </c>
      <c r="Q724" s="11">
        <v>45962</v>
      </c>
      <c r="R724" s="8" t="s">
        <v>1749</v>
      </c>
      <c r="S724" s="8" t="s">
        <v>32</v>
      </c>
      <c r="T724" s="9">
        <v>2187.4499999999998</v>
      </c>
      <c r="U724" t="s">
        <v>106</v>
      </c>
      <c r="V724" s="8" t="s">
        <v>46</v>
      </c>
      <c r="W724"/>
      <c r="X724"/>
    </row>
    <row r="725" spans="1:24" x14ac:dyDescent="0.3">
      <c r="A725" t="s">
        <v>1750</v>
      </c>
      <c r="B725" t="s">
        <v>185</v>
      </c>
      <c r="C725">
        <v>41</v>
      </c>
      <c r="D725" t="s">
        <v>84</v>
      </c>
      <c r="E725" t="s">
        <v>85</v>
      </c>
      <c r="F725" t="s">
        <v>84</v>
      </c>
      <c r="G725" t="s">
        <v>39</v>
      </c>
      <c r="H725" s="8" t="s">
        <v>40</v>
      </c>
      <c r="I725" s="9">
        <v>67518.570000000007</v>
      </c>
      <c r="J725" s="9">
        <v>4882.1499999999996</v>
      </c>
      <c r="K725" s="8" t="s">
        <v>28</v>
      </c>
      <c r="L725" s="10">
        <v>91097.39</v>
      </c>
      <c r="M725" s="8" t="s">
        <v>29</v>
      </c>
      <c r="N725" s="9">
        <v>40345.96</v>
      </c>
      <c r="O725" s="8" t="s">
        <v>30</v>
      </c>
      <c r="P725" t="str">
        <f>TEXT(Table1[[#This Row],[Transaction_Date]],"mmm")</f>
        <v>Jan</v>
      </c>
      <c r="Q725" s="11">
        <v>45687</v>
      </c>
      <c r="R725" s="8" t="s">
        <v>1751</v>
      </c>
      <c r="S725" s="8" t="s">
        <v>70</v>
      </c>
      <c r="T725" s="9">
        <v>674.43</v>
      </c>
      <c r="U725" t="s">
        <v>71</v>
      </c>
      <c r="V725" s="8" t="s">
        <v>62</v>
      </c>
      <c r="W725"/>
      <c r="X725"/>
    </row>
    <row r="726" spans="1:24" hidden="1" x14ac:dyDescent="0.3">
      <c r="A726" t="s">
        <v>1752</v>
      </c>
      <c r="B726" t="s">
        <v>587</v>
      </c>
      <c r="C726">
        <v>25</v>
      </c>
      <c r="D726" t="s">
        <v>57</v>
      </c>
      <c r="E726" t="s">
        <v>58</v>
      </c>
      <c r="F726" t="s">
        <v>57</v>
      </c>
      <c r="G726" t="s">
        <v>80</v>
      </c>
      <c r="H726" s="8" t="s">
        <v>51</v>
      </c>
      <c r="I726" s="9">
        <v>64881.66</v>
      </c>
      <c r="J726" s="9">
        <v>11134.17</v>
      </c>
      <c r="K726" s="8" t="s">
        <v>59</v>
      </c>
      <c r="L726" s="10">
        <v>32479.83</v>
      </c>
      <c r="M726" s="8" t="s">
        <v>42</v>
      </c>
      <c r="N726" s="9">
        <v>0</v>
      </c>
      <c r="O726" s="8" t="s">
        <v>30</v>
      </c>
      <c r="P726" t="str">
        <f>TEXT(Table1[[#This Row],[Transaction_Date]],"mmm")</f>
        <v>Jul</v>
      </c>
      <c r="Q726" s="11">
        <v>45846</v>
      </c>
      <c r="R726" s="8" t="s">
        <v>1753</v>
      </c>
      <c r="S726" s="8" t="s">
        <v>32</v>
      </c>
      <c r="T726" s="9">
        <v>997.81</v>
      </c>
      <c r="U726" t="s">
        <v>61</v>
      </c>
      <c r="V726" s="8" t="s">
        <v>46</v>
      </c>
      <c r="W726"/>
      <c r="X726"/>
    </row>
    <row r="727" spans="1:24" x14ac:dyDescent="0.3">
      <c r="A727" t="s">
        <v>1754</v>
      </c>
      <c r="B727" t="s">
        <v>1305</v>
      </c>
      <c r="C727">
        <v>18</v>
      </c>
      <c r="D727" t="s">
        <v>92</v>
      </c>
      <c r="E727" t="s">
        <v>93</v>
      </c>
      <c r="F727" t="s">
        <v>92</v>
      </c>
      <c r="G727" t="s">
        <v>39</v>
      </c>
      <c r="H727" s="8" t="s">
        <v>40</v>
      </c>
      <c r="I727" s="9">
        <v>48959.28</v>
      </c>
      <c r="J727" s="9">
        <v>23888.58</v>
      </c>
      <c r="K727" s="8" t="s">
        <v>59</v>
      </c>
      <c r="L727" s="10">
        <v>79511.67</v>
      </c>
      <c r="M727" s="8" t="s">
        <v>29</v>
      </c>
      <c r="N727" s="9">
        <v>41714.870000000003</v>
      </c>
      <c r="O727" s="8" t="s">
        <v>30</v>
      </c>
      <c r="P727" t="str">
        <f>TEXT(Table1[[#This Row],[Transaction_Date]],"mmm")</f>
        <v>Dec</v>
      </c>
      <c r="Q727" s="11">
        <v>46017</v>
      </c>
      <c r="R727" s="8" t="s">
        <v>1755</v>
      </c>
      <c r="S727" s="8" t="s">
        <v>54</v>
      </c>
      <c r="T727" s="9">
        <v>1788.63</v>
      </c>
      <c r="U727" t="s">
        <v>77</v>
      </c>
      <c r="V727" s="8" t="s">
        <v>62</v>
      </c>
      <c r="W727"/>
      <c r="X727"/>
    </row>
    <row r="728" spans="1:24" x14ac:dyDescent="0.3">
      <c r="A728" t="s">
        <v>1756</v>
      </c>
      <c r="B728" t="s">
        <v>1029</v>
      </c>
      <c r="C728">
        <v>54</v>
      </c>
      <c r="D728" t="s">
        <v>97</v>
      </c>
      <c r="E728" t="s">
        <v>98</v>
      </c>
      <c r="F728" t="s">
        <v>97</v>
      </c>
      <c r="G728" t="s">
        <v>39</v>
      </c>
      <c r="H728" s="8" t="s">
        <v>27</v>
      </c>
      <c r="I728" s="9">
        <v>33252.36</v>
      </c>
      <c r="J728" s="9">
        <v>22051.25</v>
      </c>
      <c r="K728" s="8" t="s">
        <v>74</v>
      </c>
      <c r="L728" s="10">
        <v>0</v>
      </c>
      <c r="M728" s="8" t="s">
        <v>75</v>
      </c>
      <c r="N728" s="9">
        <v>0</v>
      </c>
      <c r="O728" s="8" t="s">
        <v>30</v>
      </c>
      <c r="P728" t="str">
        <f>TEXT(Table1[[#This Row],[Transaction_Date]],"mmm")</f>
        <v>Feb</v>
      </c>
      <c r="Q728" s="11">
        <v>45710</v>
      </c>
      <c r="R728" s="8" t="s">
        <v>1757</v>
      </c>
      <c r="S728" s="8" t="s">
        <v>70</v>
      </c>
      <c r="T728" s="9">
        <v>28027.08</v>
      </c>
      <c r="U728" t="s">
        <v>77</v>
      </c>
      <c r="V728" s="8" t="s">
        <v>62</v>
      </c>
      <c r="W728"/>
      <c r="X728"/>
    </row>
    <row r="729" spans="1:24" x14ac:dyDescent="0.3">
      <c r="A729" t="s">
        <v>1758</v>
      </c>
      <c r="B729" t="s">
        <v>469</v>
      </c>
      <c r="C729">
        <v>26</v>
      </c>
      <c r="D729" t="s">
        <v>57</v>
      </c>
      <c r="E729" t="s">
        <v>58</v>
      </c>
      <c r="F729" t="s">
        <v>57</v>
      </c>
      <c r="G729" t="s">
        <v>39</v>
      </c>
      <c r="H729" s="8" t="s">
        <v>27</v>
      </c>
      <c r="I729" s="9">
        <v>38485.019999999997</v>
      </c>
      <c r="J729" s="9">
        <v>33060.019999999997</v>
      </c>
      <c r="K729" s="8" t="s">
        <v>74</v>
      </c>
      <c r="L729" s="10">
        <v>0</v>
      </c>
      <c r="M729" s="8" t="s">
        <v>75</v>
      </c>
      <c r="N729" s="9">
        <v>0</v>
      </c>
      <c r="O729" s="8" t="s">
        <v>30</v>
      </c>
      <c r="P729" t="str">
        <f>TEXT(Table1[[#This Row],[Transaction_Date]],"mmm")</f>
        <v>Jun</v>
      </c>
      <c r="Q729" s="11">
        <v>45835</v>
      </c>
      <c r="R729" s="8" t="s">
        <v>1759</v>
      </c>
      <c r="S729" s="8" t="s">
        <v>44</v>
      </c>
      <c r="T729" s="9">
        <v>4487.3500000000004</v>
      </c>
      <c r="U729" t="s">
        <v>33</v>
      </c>
      <c r="V729" s="8" t="s">
        <v>62</v>
      </c>
      <c r="W729"/>
      <c r="X729"/>
    </row>
    <row r="730" spans="1:24" x14ac:dyDescent="0.3">
      <c r="A730" t="s">
        <v>1760</v>
      </c>
      <c r="B730" t="s">
        <v>88</v>
      </c>
      <c r="C730">
        <v>18</v>
      </c>
      <c r="D730" t="s">
        <v>49</v>
      </c>
      <c r="E730" t="s">
        <v>50</v>
      </c>
      <c r="F730" t="s">
        <v>49</v>
      </c>
      <c r="G730" t="s">
        <v>39</v>
      </c>
      <c r="H730" s="8" t="s">
        <v>40</v>
      </c>
      <c r="I730" s="9">
        <v>32467.13</v>
      </c>
      <c r="J730" s="9">
        <v>7016.65</v>
      </c>
      <c r="K730" s="8" t="s">
        <v>74</v>
      </c>
      <c r="L730" s="10">
        <v>0</v>
      </c>
      <c r="M730" s="8" t="s">
        <v>75</v>
      </c>
      <c r="N730" s="9">
        <v>0</v>
      </c>
      <c r="O730" s="8" t="s">
        <v>30</v>
      </c>
      <c r="P730" t="str">
        <f>TEXT(Table1[[#This Row],[Transaction_Date]],"mmm")</f>
        <v>Sep</v>
      </c>
      <c r="Q730" s="11">
        <v>45925</v>
      </c>
      <c r="R730" s="8" t="s">
        <v>1761</v>
      </c>
      <c r="S730" s="8" t="s">
        <v>54</v>
      </c>
      <c r="T730" s="9">
        <v>4101.59</v>
      </c>
      <c r="U730" t="s">
        <v>33</v>
      </c>
      <c r="V730" s="8" t="s">
        <v>62</v>
      </c>
      <c r="W730"/>
      <c r="X730"/>
    </row>
    <row r="731" spans="1:24" x14ac:dyDescent="0.3">
      <c r="A731" t="s">
        <v>1762</v>
      </c>
      <c r="B731" t="s">
        <v>325</v>
      </c>
      <c r="C731">
        <v>36</v>
      </c>
      <c r="D731" t="s">
        <v>24</v>
      </c>
      <c r="E731" t="s">
        <v>25</v>
      </c>
      <c r="F731" t="s">
        <v>24</v>
      </c>
      <c r="G731" t="s">
        <v>39</v>
      </c>
      <c r="H731" s="8" t="s">
        <v>51</v>
      </c>
      <c r="I731" s="9">
        <v>58005.01</v>
      </c>
      <c r="J731" s="9">
        <v>34929.25</v>
      </c>
      <c r="K731" s="8" t="s">
        <v>59</v>
      </c>
      <c r="L731" s="10">
        <v>71123.42</v>
      </c>
      <c r="M731" s="8" t="s">
        <v>29</v>
      </c>
      <c r="N731" s="9">
        <v>55255.08</v>
      </c>
      <c r="O731" s="8" t="s">
        <v>30</v>
      </c>
      <c r="P731" t="str">
        <f>TEXT(Table1[[#This Row],[Transaction_Date]],"mmm")</f>
        <v>Aug</v>
      </c>
      <c r="Q731" s="11">
        <v>45892</v>
      </c>
      <c r="R731" s="8" t="s">
        <v>1763</v>
      </c>
      <c r="S731" s="8" t="s">
        <v>44</v>
      </c>
      <c r="T731" s="9">
        <v>6076.03</v>
      </c>
      <c r="U731" t="s">
        <v>61</v>
      </c>
      <c r="V731" s="8" t="s">
        <v>62</v>
      </c>
      <c r="W731"/>
      <c r="X731"/>
    </row>
    <row r="732" spans="1:24" hidden="1" x14ac:dyDescent="0.3">
      <c r="A732" t="s">
        <v>1764</v>
      </c>
      <c r="B732" t="s">
        <v>1096</v>
      </c>
      <c r="C732">
        <v>27</v>
      </c>
      <c r="D732" t="s">
        <v>57</v>
      </c>
      <c r="E732" t="s">
        <v>58</v>
      </c>
      <c r="F732" t="s">
        <v>57</v>
      </c>
      <c r="G732" t="s">
        <v>51</v>
      </c>
      <c r="H732" s="8" t="s">
        <v>67</v>
      </c>
      <c r="I732" s="9">
        <v>17727.689999999999</v>
      </c>
      <c r="J732" s="9">
        <v>10285.74</v>
      </c>
      <c r="K732" s="8" t="s">
        <v>59</v>
      </c>
      <c r="L732" s="10">
        <v>32159.57</v>
      </c>
      <c r="M732" s="8" t="s">
        <v>42</v>
      </c>
      <c r="N732" s="9">
        <v>0</v>
      </c>
      <c r="O732" s="8" t="s">
        <v>30</v>
      </c>
      <c r="P732" t="str">
        <f>TEXT(Table1[[#This Row],[Transaction_Date]],"mmm")</f>
        <v>Sep</v>
      </c>
      <c r="Q732" s="11">
        <v>45925</v>
      </c>
      <c r="R732" s="8" t="s">
        <v>1765</v>
      </c>
      <c r="S732" s="8" t="s">
        <v>54</v>
      </c>
      <c r="T732" s="9">
        <v>2269.46</v>
      </c>
      <c r="U732" t="s">
        <v>33</v>
      </c>
      <c r="V732" s="8" t="s">
        <v>62</v>
      </c>
      <c r="W732"/>
      <c r="X732"/>
    </row>
    <row r="733" spans="1:24" x14ac:dyDescent="0.3">
      <c r="A733" t="s">
        <v>1766</v>
      </c>
      <c r="B733" t="s">
        <v>460</v>
      </c>
      <c r="C733">
        <v>45</v>
      </c>
      <c r="D733" t="s">
        <v>97</v>
      </c>
      <c r="E733" t="s">
        <v>98</v>
      </c>
      <c r="F733" t="s">
        <v>97</v>
      </c>
      <c r="G733" t="s">
        <v>39</v>
      </c>
      <c r="H733" s="8" t="s">
        <v>27</v>
      </c>
      <c r="I733" s="9">
        <v>26116.35</v>
      </c>
      <c r="J733" s="9">
        <v>76097.83</v>
      </c>
      <c r="K733" s="8" t="s">
        <v>68</v>
      </c>
      <c r="L733" s="10">
        <v>272628.53000000003</v>
      </c>
      <c r="M733" s="8" t="s">
        <v>42</v>
      </c>
      <c r="N733" s="9">
        <v>0</v>
      </c>
      <c r="O733" s="8" t="s">
        <v>30</v>
      </c>
      <c r="P733" t="str">
        <f>TEXT(Table1[[#This Row],[Transaction_Date]],"mmm")</f>
        <v>Mar</v>
      </c>
      <c r="Q733" s="11">
        <v>45723</v>
      </c>
      <c r="R733" s="8" t="s">
        <v>1767</v>
      </c>
      <c r="S733" s="8" t="s">
        <v>54</v>
      </c>
      <c r="T733" s="9">
        <v>6697.94</v>
      </c>
      <c r="U733" t="s">
        <v>33</v>
      </c>
      <c r="V733" s="8" t="s">
        <v>62</v>
      </c>
      <c r="W733"/>
      <c r="X733"/>
    </row>
    <row r="734" spans="1:24" x14ac:dyDescent="0.3">
      <c r="A734" t="s">
        <v>1768</v>
      </c>
      <c r="B734" t="s">
        <v>787</v>
      </c>
      <c r="C734">
        <v>25</v>
      </c>
      <c r="D734" t="s">
        <v>97</v>
      </c>
      <c r="E734" t="s">
        <v>98</v>
      </c>
      <c r="F734" t="s">
        <v>97</v>
      </c>
      <c r="G734" t="s">
        <v>39</v>
      </c>
      <c r="H734" s="8" t="s">
        <v>40</v>
      </c>
      <c r="I734" s="9">
        <v>52210.36</v>
      </c>
      <c r="J734" s="9">
        <v>55005.95</v>
      </c>
      <c r="K734" s="8" t="s">
        <v>68</v>
      </c>
      <c r="L734" s="10">
        <v>143998.45000000001</v>
      </c>
      <c r="M734" s="8" t="s">
        <v>29</v>
      </c>
      <c r="N734" s="9">
        <v>49522.15</v>
      </c>
      <c r="O734" s="8" t="s">
        <v>30</v>
      </c>
      <c r="P734" t="str">
        <f>TEXT(Table1[[#This Row],[Transaction_Date]],"mmm")</f>
        <v>Oct</v>
      </c>
      <c r="Q734" s="11">
        <v>45954</v>
      </c>
      <c r="R734" s="8" t="s">
        <v>1769</v>
      </c>
      <c r="S734" s="8" t="s">
        <v>44</v>
      </c>
      <c r="T734" s="9">
        <v>2044.85</v>
      </c>
      <c r="U734" t="s">
        <v>106</v>
      </c>
      <c r="V734" s="8" t="s">
        <v>62</v>
      </c>
      <c r="W734"/>
      <c r="X734"/>
    </row>
    <row r="735" spans="1:24" hidden="1" x14ac:dyDescent="0.3">
      <c r="A735" t="s">
        <v>1770</v>
      </c>
      <c r="B735" t="s">
        <v>771</v>
      </c>
      <c r="C735">
        <v>30</v>
      </c>
      <c r="D735" t="s">
        <v>37</v>
      </c>
      <c r="E735" t="s">
        <v>38</v>
      </c>
      <c r="F735" t="s">
        <v>37</v>
      </c>
      <c r="G735" t="s">
        <v>26</v>
      </c>
      <c r="H735" s="8" t="s">
        <v>27</v>
      </c>
      <c r="I735" s="9">
        <v>95950.21</v>
      </c>
      <c r="J735" s="9">
        <v>29966.67</v>
      </c>
      <c r="K735" s="8" t="s">
        <v>74</v>
      </c>
      <c r="L735" s="10">
        <v>0</v>
      </c>
      <c r="M735" s="8" t="s">
        <v>75</v>
      </c>
      <c r="N735" s="9">
        <v>0</v>
      </c>
      <c r="O735" s="8" t="s">
        <v>30</v>
      </c>
      <c r="P735" t="str">
        <f>TEXT(Table1[[#This Row],[Transaction_Date]],"mmm")</f>
        <v>Jan</v>
      </c>
      <c r="Q735" s="11">
        <v>45667</v>
      </c>
      <c r="R735" s="8" t="s">
        <v>1771</v>
      </c>
      <c r="S735" s="8" t="s">
        <v>54</v>
      </c>
      <c r="T735" s="9">
        <v>5499.13</v>
      </c>
      <c r="U735" t="s">
        <v>33</v>
      </c>
      <c r="V735" s="8" t="s">
        <v>46</v>
      </c>
      <c r="W735"/>
      <c r="X735"/>
    </row>
    <row r="736" spans="1:24" x14ac:dyDescent="0.3">
      <c r="A736" t="s">
        <v>1772</v>
      </c>
      <c r="B736" t="s">
        <v>412</v>
      </c>
      <c r="C736">
        <v>28</v>
      </c>
      <c r="D736" t="s">
        <v>65</v>
      </c>
      <c r="E736" t="s">
        <v>66</v>
      </c>
      <c r="F736" t="s">
        <v>65</v>
      </c>
      <c r="G736" t="s">
        <v>39</v>
      </c>
      <c r="H736" s="8" t="s">
        <v>51</v>
      </c>
      <c r="I736" s="9">
        <v>77826.92</v>
      </c>
      <c r="J736" s="9">
        <v>19715.95</v>
      </c>
      <c r="K736" s="8" t="s">
        <v>28</v>
      </c>
      <c r="L736" s="10">
        <v>38973.47</v>
      </c>
      <c r="M736" s="8" t="s">
        <v>29</v>
      </c>
      <c r="N736" s="9">
        <v>35941.94</v>
      </c>
      <c r="O736" s="8" t="s">
        <v>30</v>
      </c>
      <c r="P736" t="str">
        <f>TEXT(Table1[[#This Row],[Transaction_Date]],"mmm")</f>
        <v>Dec</v>
      </c>
      <c r="Q736" s="11">
        <v>45992</v>
      </c>
      <c r="R736" s="8" t="s">
        <v>1773</v>
      </c>
      <c r="S736" s="8" t="s">
        <v>44</v>
      </c>
      <c r="T736" s="9">
        <v>5358.69</v>
      </c>
      <c r="U736" t="s">
        <v>33</v>
      </c>
      <c r="V736" s="8" t="s">
        <v>62</v>
      </c>
      <c r="W736"/>
      <c r="X736"/>
    </row>
    <row r="737" spans="1:24" hidden="1" x14ac:dyDescent="0.3">
      <c r="A737" t="s">
        <v>1774</v>
      </c>
      <c r="B737" t="s">
        <v>104</v>
      </c>
      <c r="C737">
        <v>34</v>
      </c>
      <c r="D737" t="s">
        <v>37</v>
      </c>
      <c r="E737" t="s">
        <v>38</v>
      </c>
      <c r="F737" t="s">
        <v>37</v>
      </c>
      <c r="G737" t="s">
        <v>26</v>
      </c>
      <c r="H737" s="8" t="s">
        <v>51</v>
      </c>
      <c r="I737" s="9">
        <v>53898.559999999998</v>
      </c>
      <c r="J737" s="9">
        <v>19414.04</v>
      </c>
      <c r="K737" s="8" t="s">
        <v>74</v>
      </c>
      <c r="L737" s="10">
        <v>0</v>
      </c>
      <c r="M737" s="8" t="s">
        <v>75</v>
      </c>
      <c r="N737" s="9">
        <v>0</v>
      </c>
      <c r="O737" s="8" t="s">
        <v>30</v>
      </c>
      <c r="P737" t="str">
        <f>TEXT(Table1[[#This Row],[Transaction_Date]],"mmm")</f>
        <v>Oct</v>
      </c>
      <c r="Q737" s="11">
        <v>45942</v>
      </c>
      <c r="R737" s="8" t="s">
        <v>1775</v>
      </c>
      <c r="S737" s="8" t="s">
        <v>54</v>
      </c>
      <c r="T737" s="9">
        <v>4994.57</v>
      </c>
      <c r="U737" t="s">
        <v>106</v>
      </c>
      <c r="V737" s="8" t="s">
        <v>62</v>
      </c>
      <c r="W737"/>
      <c r="X737"/>
    </row>
    <row r="738" spans="1:24" x14ac:dyDescent="0.3">
      <c r="A738" t="s">
        <v>1776</v>
      </c>
      <c r="B738" t="s">
        <v>500</v>
      </c>
      <c r="C738">
        <v>18</v>
      </c>
      <c r="D738" t="s">
        <v>49</v>
      </c>
      <c r="E738" t="s">
        <v>50</v>
      </c>
      <c r="F738" t="s">
        <v>49</v>
      </c>
      <c r="G738" t="s">
        <v>39</v>
      </c>
      <c r="H738" s="8" t="s">
        <v>40</v>
      </c>
      <c r="I738" s="9">
        <v>66270.47</v>
      </c>
      <c r="J738" s="9">
        <v>18195.68</v>
      </c>
      <c r="K738" s="8" t="s">
        <v>74</v>
      </c>
      <c r="L738" s="10">
        <v>0</v>
      </c>
      <c r="M738" s="8" t="s">
        <v>75</v>
      </c>
      <c r="N738" s="9">
        <v>0</v>
      </c>
      <c r="O738" s="8" t="s">
        <v>30</v>
      </c>
      <c r="P738" t="str">
        <f>TEXT(Table1[[#This Row],[Transaction_Date]],"mmm")</f>
        <v>Oct</v>
      </c>
      <c r="Q738" s="11">
        <v>45941</v>
      </c>
      <c r="R738" s="8" t="s">
        <v>1777</v>
      </c>
      <c r="S738" s="8" t="s">
        <v>44</v>
      </c>
      <c r="T738" s="9">
        <v>588.92999999999995</v>
      </c>
      <c r="U738" t="s">
        <v>61</v>
      </c>
      <c r="V738" s="8" t="s">
        <v>62</v>
      </c>
      <c r="W738"/>
      <c r="X738"/>
    </row>
    <row r="739" spans="1:24" hidden="1" x14ac:dyDescent="0.3">
      <c r="A739" t="s">
        <v>1778</v>
      </c>
      <c r="B739" t="s">
        <v>527</v>
      </c>
      <c r="C739">
        <v>29</v>
      </c>
      <c r="D739" t="s">
        <v>92</v>
      </c>
      <c r="E739" t="s">
        <v>93</v>
      </c>
      <c r="F739" t="s">
        <v>92</v>
      </c>
      <c r="G739" t="s">
        <v>80</v>
      </c>
      <c r="H739" s="8" t="s">
        <v>40</v>
      </c>
      <c r="I739" s="9">
        <v>47406.71</v>
      </c>
      <c r="J739" s="9">
        <v>31504.94</v>
      </c>
      <c r="K739" s="8" t="s">
        <v>74</v>
      </c>
      <c r="L739" s="10">
        <v>0</v>
      </c>
      <c r="M739" s="8" t="s">
        <v>75</v>
      </c>
      <c r="N739" s="9">
        <v>0</v>
      </c>
      <c r="O739" s="8" t="s">
        <v>30</v>
      </c>
      <c r="P739" t="str">
        <f>TEXT(Table1[[#This Row],[Transaction_Date]],"mmm")</f>
        <v>Nov</v>
      </c>
      <c r="Q739" s="11">
        <v>45973</v>
      </c>
      <c r="R739" s="8" t="s">
        <v>1779</v>
      </c>
      <c r="S739" s="8" t="s">
        <v>70</v>
      </c>
      <c r="T739" s="9">
        <v>4504.45</v>
      </c>
      <c r="U739" t="s">
        <v>106</v>
      </c>
      <c r="V739" s="8" t="s">
        <v>46</v>
      </c>
      <c r="W739"/>
      <c r="X739"/>
    </row>
    <row r="740" spans="1:24" hidden="1" x14ac:dyDescent="0.3">
      <c r="A740" t="s">
        <v>1780</v>
      </c>
      <c r="B740" t="s">
        <v>251</v>
      </c>
      <c r="C740">
        <v>23</v>
      </c>
      <c r="D740" t="s">
        <v>475</v>
      </c>
      <c r="E740" t="s">
        <v>50</v>
      </c>
      <c r="F740" t="s">
        <v>49</v>
      </c>
      <c r="G740" t="s">
        <v>26</v>
      </c>
      <c r="H740" s="8" t="s">
        <v>27</v>
      </c>
      <c r="I740" s="9">
        <v>38134.97</v>
      </c>
      <c r="J740" s="9">
        <v>25856.91</v>
      </c>
      <c r="K740" s="8" t="s">
        <v>68</v>
      </c>
      <c r="L740" s="10">
        <v>76507.179999999993</v>
      </c>
      <c r="M740" s="8" t="s">
        <v>29</v>
      </c>
      <c r="N740" s="9">
        <v>48213.94</v>
      </c>
      <c r="O740" s="8" t="s">
        <v>228</v>
      </c>
      <c r="P740" t="str">
        <f>TEXT(Table1[[#This Row],[Transaction_Date]],"mmm")</f>
        <v>Nov</v>
      </c>
      <c r="Q740" s="11">
        <v>45966</v>
      </c>
      <c r="R740" s="8" t="s">
        <v>1781</v>
      </c>
      <c r="S740" s="8" t="s">
        <v>70</v>
      </c>
      <c r="T740" s="9">
        <v>6151.26</v>
      </c>
      <c r="U740" t="s">
        <v>45</v>
      </c>
      <c r="V740" s="8" t="s">
        <v>62</v>
      </c>
      <c r="W740"/>
      <c r="X740"/>
    </row>
    <row r="741" spans="1:24" x14ac:dyDescent="0.3">
      <c r="A741" t="s">
        <v>1782</v>
      </c>
      <c r="B741" t="s">
        <v>111</v>
      </c>
      <c r="C741">
        <v>41</v>
      </c>
      <c r="D741" t="s">
        <v>57</v>
      </c>
      <c r="E741" t="s">
        <v>58</v>
      </c>
      <c r="F741" t="s">
        <v>57</v>
      </c>
      <c r="G741" t="s">
        <v>39</v>
      </c>
      <c r="H741" s="8" t="s">
        <v>40</v>
      </c>
      <c r="I741" s="9">
        <v>70339.240000000005</v>
      </c>
      <c r="J741" s="9">
        <v>22636.07</v>
      </c>
      <c r="K741" s="8" t="s">
        <v>74</v>
      </c>
      <c r="L741" s="10">
        <v>0</v>
      </c>
      <c r="M741" s="8" t="s">
        <v>75</v>
      </c>
      <c r="N741" s="9">
        <v>0</v>
      </c>
      <c r="O741" s="8" t="s">
        <v>30</v>
      </c>
      <c r="P741" t="str">
        <f>TEXT(Table1[[#This Row],[Transaction_Date]],"mmm")</f>
        <v>May</v>
      </c>
      <c r="Q741" s="11">
        <v>45800</v>
      </c>
      <c r="R741" s="8" t="s">
        <v>1783</v>
      </c>
      <c r="S741" s="8" t="s">
        <v>44</v>
      </c>
      <c r="T741" s="9">
        <v>1895.26</v>
      </c>
      <c r="U741" t="s">
        <v>77</v>
      </c>
      <c r="V741" s="8" t="s">
        <v>62</v>
      </c>
      <c r="W741"/>
      <c r="X741"/>
    </row>
    <row r="742" spans="1:24" hidden="1" x14ac:dyDescent="0.3">
      <c r="A742" t="s">
        <v>1784</v>
      </c>
      <c r="B742" t="s">
        <v>1785</v>
      </c>
      <c r="C742">
        <v>22</v>
      </c>
      <c r="D742" t="s">
        <v>57</v>
      </c>
      <c r="E742" t="s">
        <v>58</v>
      </c>
      <c r="F742" t="s">
        <v>57</v>
      </c>
      <c r="G742" t="s">
        <v>26</v>
      </c>
      <c r="H742" s="8" t="s">
        <v>40</v>
      </c>
      <c r="I742" s="9">
        <v>29126.19</v>
      </c>
      <c r="J742" s="9">
        <v>9103.18</v>
      </c>
      <c r="K742" s="8" t="s">
        <v>28</v>
      </c>
      <c r="L742" s="10">
        <v>45298.720000000001</v>
      </c>
      <c r="M742" s="8" t="s">
        <v>29</v>
      </c>
      <c r="N742" s="9">
        <v>36372.949999999997</v>
      </c>
      <c r="O742" s="8" t="s">
        <v>30</v>
      </c>
      <c r="P742" t="str">
        <f>TEXT(Table1[[#This Row],[Transaction_Date]],"mmm")</f>
        <v>Apr</v>
      </c>
      <c r="Q742" s="11">
        <v>45770</v>
      </c>
      <c r="R742" s="8" t="s">
        <v>1786</v>
      </c>
      <c r="S742" s="8" t="s">
        <v>44</v>
      </c>
      <c r="T742" s="9">
        <v>2862.35</v>
      </c>
      <c r="U742" t="s">
        <v>77</v>
      </c>
      <c r="V742" s="8" t="s">
        <v>62</v>
      </c>
      <c r="W742"/>
      <c r="X742"/>
    </row>
    <row r="743" spans="1:24" x14ac:dyDescent="0.3">
      <c r="A743" t="s">
        <v>1787</v>
      </c>
      <c r="B743" t="s">
        <v>722</v>
      </c>
      <c r="C743">
        <v>60</v>
      </c>
      <c r="D743" t="s">
        <v>97</v>
      </c>
      <c r="E743" t="s">
        <v>98</v>
      </c>
      <c r="F743" t="s">
        <v>97</v>
      </c>
      <c r="G743" t="s">
        <v>39</v>
      </c>
      <c r="H743" s="8" t="s">
        <v>27</v>
      </c>
      <c r="I743" s="9">
        <v>80947.08</v>
      </c>
      <c r="J743" s="9">
        <v>14770.97</v>
      </c>
      <c r="K743" s="8" t="s">
        <v>52</v>
      </c>
      <c r="L743" s="10">
        <v>36886.769999999997</v>
      </c>
      <c r="M743" s="8" t="s">
        <v>29</v>
      </c>
      <c r="N743" s="9">
        <v>22504.26</v>
      </c>
      <c r="O743" s="8" t="s">
        <v>30</v>
      </c>
      <c r="P743" t="str">
        <f>TEXT(Table1[[#This Row],[Transaction_Date]],"mmm")</f>
        <v>Feb</v>
      </c>
      <c r="Q743" s="11">
        <v>45712</v>
      </c>
      <c r="R743" s="8" t="s">
        <v>1788</v>
      </c>
      <c r="S743" s="8" t="s">
        <v>32</v>
      </c>
      <c r="T743" s="9">
        <v>622.4</v>
      </c>
      <c r="U743" t="s">
        <v>33</v>
      </c>
      <c r="V743" s="8" t="s">
        <v>62</v>
      </c>
      <c r="W743"/>
      <c r="X743"/>
    </row>
    <row r="744" spans="1:24" hidden="1" x14ac:dyDescent="0.3">
      <c r="A744" t="s">
        <v>1789</v>
      </c>
      <c r="B744" t="s">
        <v>104</v>
      </c>
      <c r="C744">
        <v>18</v>
      </c>
      <c r="D744" t="s">
        <v>37</v>
      </c>
      <c r="E744" t="s">
        <v>38</v>
      </c>
      <c r="F744" t="s">
        <v>37</v>
      </c>
      <c r="G744" t="s">
        <v>26</v>
      </c>
      <c r="H744" s="8" t="s">
        <v>40</v>
      </c>
      <c r="I744" s="9">
        <v>59291.05</v>
      </c>
      <c r="J744" s="9">
        <v>10398.56</v>
      </c>
      <c r="K744" s="8" t="s">
        <v>59</v>
      </c>
      <c r="L744" s="10">
        <v>134003.79999999999</v>
      </c>
      <c r="M744" s="8" t="s">
        <v>29</v>
      </c>
      <c r="N744" s="9">
        <v>111421.36</v>
      </c>
      <c r="O744" s="8" t="s">
        <v>30</v>
      </c>
      <c r="P744" t="str">
        <f>TEXT(Table1[[#This Row],[Transaction_Date]],"mmm")</f>
        <v>Apr</v>
      </c>
      <c r="Q744" s="11">
        <v>45769</v>
      </c>
      <c r="R744" s="8" t="s">
        <v>1790</v>
      </c>
      <c r="S744" s="8" t="s">
        <v>70</v>
      </c>
      <c r="T744" s="9">
        <v>8920.6</v>
      </c>
      <c r="U744" t="s">
        <v>61</v>
      </c>
      <c r="V744" s="8" t="s">
        <v>62</v>
      </c>
      <c r="W744"/>
      <c r="X744"/>
    </row>
    <row r="745" spans="1:24" x14ac:dyDescent="0.3">
      <c r="A745" t="s">
        <v>1791</v>
      </c>
      <c r="B745" t="s">
        <v>73</v>
      </c>
      <c r="C745">
        <v>40</v>
      </c>
      <c r="D745" t="s">
        <v>24</v>
      </c>
      <c r="E745" t="s">
        <v>25</v>
      </c>
      <c r="F745" t="s">
        <v>24</v>
      </c>
      <c r="G745" t="s">
        <v>39</v>
      </c>
      <c r="H745" s="8" t="s">
        <v>40</v>
      </c>
      <c r="I745" s="9">
        <v>72519.48</v>
      </c>
      <c r="J745" s="9">
        <v>14931.06</v>
      </c>
      <c r="K745" s="8" t="s">
        <v>28</v>
      </c>
      <c r="L745" s="10">
        <v>59801.36</v>
      </c>
      <c r="M745" s="8" t="s">
        <v>29</v>
      </c>
      <c r="N745" s="9">
        <v>45794.8</v>
      </c>
      <c r="O745" s="8" t="s">
        <v>30</v>
      </c>
      <c r="P745" t="str">
        <f>TEXT(Table1[[#This Row],[Transaction_Date]],"mmm")</f>
        <v>Jul</v>
      </c>
      <c r="Q745" s="11">
        <v>45856</v>
      </c>
      <c r="R745" s="8" t="s">
        <v>1792</v>
      </c>
      <c r="S745" s="8" t="s">
        <v>70</v>
      </c>
      <c r="T745" s="9">
        <v>2496.9699999999998</v>
      </c>
      <c r="U745" t="s">
        <v>71</v>
      </c>
      <c r="V745" s="8" t="s">
        <v>62</v>
      </c>
      <c r="W745"/>
      <c r="X745"/>
    </row>
    <row r="746" spans="1:24" hidden="1" x14ac:dyDescent="0.3">
      <c r="A746" t="s">
        <v>1793</v>
      </c>
      <c r="B746" t="s">
        <v>494</v>
      </c>
      <c r="C746">
        <v>39</v>
      </c>
      <c r="D746" t="s">
        <v>92</v>
      </c>
      <c r="E746" t="s">
        <v>93</v>
      </c>
      <c r="F746" t="s">
        <v>92</v>
      </c>
      <c r="G746" t="s">
        <v>26</v>
      </c>
      <c r="H746" s="8" t="s">
        <v>40</v>
      </c>
      <c r="I746" s="9">
        <v>61882.09</v>
      </c>
      <c r="J746" s="9">
        <v>39840.32</v>
      </c>
      <c r="K746" s="8" t="s">
        <v>68</v>
      </c>
      <c r="L746" s="10">
        <v>92071.92</v>
      </c>
      <c r="M746" s="8" t="s">
        <v>29</v>
      </c>
      <c r="N746" s="9">
        <v>64250.09</v>
      </c>
      <c r="O746" s="8" t="s">
        <v>30</v>
      </c>
      <c r="P746" t="str">
        <f>TEXT(Table1[[#This Row],[Transaction_Date]],"mmm")</f>
        <v>Mar</v>
      </c>
      <c r="Q746" s="11">
        <v>45720</v>
      </c>
      <c r="R746" s="8" t="s">
        <v>1794</v>
      </c>
      <c r="S746" s="8" t="s">
        <v>32</v>
      </c>
      <c r="T746" s="9">
        <v>22615.13</v>
      </c>
      <c r="U746" t="s">
        <v>77</v>
      </c>
      <c r="V746" s="8" t="s">
        <v>46</v>
      </c>
      <c r="W746"/>
      <c r="X746"/>
    </row>
    <row r="747" spans="1:24" hidden="1" x14ac:dyDescent="0.3">
      <c r="A747" t="s">
        <v>1795</v>
      </c>
      <c r="B747" t="s">
        <v>1050</v>
      </c>
      <c r="C747">
        <v>63</v>
      </c>
      <c r="D747" t="s">
        <v>92</v>
      </c>
      <c r="E747" t="s">
        <v>93</v>
      </c>
      <c r="F747" t="s">
        <v>92</v>
      </c>
      <c r="G747" t="s">
        <v>80</v>
      </c>
      <c r="H747" s="8" t="s">
        <v>27</v>
      </c>
      <c r="I747" s="9">
        <v>74098.720000000001</v>
      </c>
      <c r="J747" s="9">
        <v>10524.03</v>
      </c>
      <c r="K747" s="8" t="s">
        <v>68</v>
      </c>
      <c r="L747" s="10">
        <v>45506.04</v>
      </c>
      <c r="M747" s="8" t="s">
        <v>29</v>
      </c>
      <c r="N747" s="9">
        <v>39519.58</v>
      </c>
      <c r="O747" s="8" t="s">
        <v>30</v>
      </c>
      <c r="P747" t="str">
        <f>TEXT(Table1[[#This Row],[Transaction_Date]],"mmm")</f>
        <v>Aug</v>
      </c>
      <c r="Q747" s="11">
        <v>45900</v>
      </c>
      <c r="R747" s="8" t="s">
        <v>1796</v>
      </c>
      <c r="S747" s="8" t="s">
        <v>54</v>
      </c>
      <c r="T747" s="9">
        <v>3594.53</v>
      </c>
      <c r="U747" t="s">
        <v>45</v>
      </c>
      <c r="V747" s="8" t="s">
        <v>34</v>
      </c>
      <c r="W747"/>
      <c r="X747"/>
    </row>
    <row r="748" spans="1:24" x14ac:dyDescent="0.3">
      <c r="A748" t="s">
        <v>1797</v>
      </c>
      <c r="B748" t="s">
        <v>755</v>
      </c>
      <c r="C748">
        <v>40</v>
      </c>
      <c r="D748" t="s">
        <v>57</v>
      </c>
      <c r="E748" t="s">
        <v>58</v>
      </c>
      <c r="F748" t="s">
        <v>57</v>
      </c>
      <c r="G748" t="s">
        <v>39</v>
      </c>
      <c r="H748" s="8" t="s">
        <v>27</v>
      </c>
      <c r="I748" s="9">
        <v>51234.05</v>
      </c>
      <c r="J748" s="9">
        <v>29701.35</v>
      </c>
      <c r="K748" s="8" t="s">
        <v>74</v>
      </c>
      <c r="L748" s="10">
        <v>0</v>
      </c>
      <c r="M748" s="8" t="s">
        <v>75</v>
      </c>
      <c r="N748" s="9">
        <v>0</v>
      </c>
      <c r="O748" s="8" t="s">
        <v>30</v>
      </c>
      <c r="P748" t="str">
        <f>TEXT(Table1[[#This Row],[Transaction_Date]],"mmm")</f>
        <v>Mar</v>
      </c>
      <c r="Q748" s="11">
        <v>45744</v>
      </c>
      <c r="R748" s="8" t="s">
        <v>1798</v>
      </c>
      <c r="S748" s="8" t="s">
        <v>70</v>
      </c>
      <c r="T748" s="9">
        <v>2790.25</v>
      </c>
      <c r="U748" t="s">
        <v>33</v>
      </c>
      <c r="V748" s="8" t="s">
        <v>34</v>
      </c>
      <c r="W748"/>
      <c r="X748"/>
    </row>
    <row r="749" spans="1:24" hidden="1" x14ac:dyDescent="0.3">
      <c r="A749" t="s">
        <v>1799</v>
      </c>
      <c r="B749" t="s">
        <v>1113</v>
      </c>
      <c r="C749">
        <v>18</v>
      </c>
      <c r="D749" t="s">
        <v>92</v>
      </c>
      <c r="E749" t="s">
        <v>93</v>
      </c>
      <c r="F749" t="s">
        <v>92</v>
      </c>
      <c r="G749" t="s">
        <v>51</v>
      </c>
      <c r="H749" s="8" t="s">
        <v>40</v>
      </c>
      <c r="I749" s="9">
        <v>64769.83</v>
      </c>
      <c r="J749" s="9">
        <v>20801.689999999999</v>
      </c>
      <c r="K749" s="8" t="s">
        <v>59</v>
      </c>
      <c r="L749" s="10">
        <v>33074.65</v>
      </c>
      <c r="M749" s="8" t="s">
        <v>29</v>
      </c>
      <c r="N749" s="9">
        <v>27859.85</v>
      </c>
      <c r="O749" s="8" t="s">
        <v>30</v>
      </c>
      <c r="P749" t="str">
        <f>TEXT(Table1[[#This Row],[Transaction_Date]],"mmm")</f>
        <v>Feb</v>
      </c>
      <c r="Q749" s="11">
        <v>45702</v>
      </c>
      <c r="R749" s="8" t="s">
        <v>1800</v>
      </c>
      <c r="S749" s="8" t="s">
        <v>32</v>
      </c>
      <c r="T749" s="9">
        <v>2333.63</v>
      </c>
      <c r="U749" t="s">
        <v>45</v>
      </c>
      <c r="V749" s="8" t="s">
        <v>34</v>
      </c>
      <c r="W749"/>
      <c r="X749"/>
    </row>
    <row r="750" spans="1:24" x14ac:dyDescent="0.3">
      <c r="A750" t="s">
        <v>1801</v>
      </c>
      <c r="B750" t="s">
        <v>1002</v>
      </c>
      <c r="C750">
        <v>36</v>
      </c>
      <c r="D750" t="s">
        <v>24</v>
      </c>
      <c r="E750" t="s">
        <v>25</v>
      </c>
      <c r="F750" t="s">
        <v>24</v>
      </c>
      <c r="G750" t="s">
        <v>39</v>
      </c>
      <c r="H750" s="8" t="s">
        <v>40</v>
      </c>
      <c r="I750" s="9">
        <v>76564.929999999993</v>
      </c>
      <c r="J750" s="9">
        <v>9508.5300000000007</v>
      </c>
      <c r="K750" s="8" t="s">
        <v>52</v>
      </c>
      <c r="L750" s="10">
        <v>36267.370000000003</v>
      </c>
      <c r="M750" s="8" t="s">
        <v>29</v>
      </c>
      <c r="N750" s="9">
        <v>33125.15</v>
      </c>
      <c r="O750" s="8" t="s">
        <v>30</v>
      </c>
      <c r="P750" t="str">
        <f>TEXT(Table1[[#This Row],[Transaction_Date]],"mmm")</f>
        <v>Feb</v>
      </c>
      <c r="Q750" s="11">
        <v>45707</v>
      </c>
      <c r="R750" s="8" t="s">
        <v>1802</v>
      </c>
      <c r="S750" s="8" t="s">
        <v>54</v>
      </c>
      <c r="T750" s="9">
        <v>1033.93</v>
      </c>
      <c r="U750" t="s">
        <v>45</v>
      </c>
      <c r="V750" s="8" t="s">
        <v>46</v>
      </c>
      <c r="W750"/>
      <c r="X750"/>
    </row>
    <row r="751" spans="1:24" hidden="1" x14ac:dyDescent="0.3">
      <c r="A751" t="s">
        <v>1803</v>
      </c>
      <c r="B751" t="s">
        <v>1377</v>
      </c>
      <c r="C751">
        <v>32</v>
      </c>
      <c r="D751" t="s">
        <v>92</v>
      </c>
      <c r="E751" t="s">
        <v>93</v>
      </c>
      <c r="F751" t="s">
        <v>92</v>
      </c>
      <c r="G751" t="s">
        <v>51</v>
      </c>
      <c r="H751" s="8" t="s">
        <v>51</v>
      </c>
      <c r="I751" s="9">
        <v>41419.71</v>
      </c>
      <c r="J751" s="9">
        <v>62557.61</v>
      </c>
      <c r="K751" s="8" t="s">
        <v>74</v>
      </c>
      <c r="L751" s="10">
        <v>0</v>
      </c>
      <c r="M751" s="8" t="s">
        <v>75</v>
      </c>
      <c r="N751" s="9">
        <v>0</v>
      </c>
      <c r="O751" s="8" t="s">
        <v>30</v>
      </c>
      <c r="P751" t="str">
        <f>TEXT(Table1[[#This Row],[Transaction_Date]],"mmm")</f>
        <v>Feb</v>
      </c>
      <c r="Q751" s="11">
        <v>45708</v>
      </c>
      <c r="R751" s="8" t="s">
        <v>1804</v>
      </c>
      <c r="S751" s="8" t="s">
        <v>70</v>
      </c>
      <c r="T751" s="9">
        <v>9919.41</v>
      </c>
      <c r="U751" t="s">
        <v>45</v>
      </c>
      <c r="V751" s="8" t="s">
        <v>46</v>
      </c>
      <c r="W751"/>
      <c r="X751"/>
    </row>
    <row r="752" spans="1:24" x14ac:dyDescent="0.3">
      <c r="A752" t="s">
        <v>1805</v>
      </c>
      <c r="B752" t="s">
        <v>1423</v>
      </c>
      <c r="C752">
        <v>20</v>
      </c>
      <c r="D752" t="s">
        <v>37</v>
      </c>
      <c r="E752" t="s">
        <v>38</v>
      </c>
      <c r="F752" t="s">
        <v>37</v>
      </c>
      <c r="G752" t="s">
        <v>39</v>
      </c>
      <c r="H752" s="8" t="s">
        <v>40</v>
      </c>
      <c r="I752" s="9">
        <v>42767.56</v>
      </c>
      <c r="J752" s="9">
        <v>5835.92</v>
      </c>
      <c r="K752" s="8" t="s">
        <v>52</v>
      </c>
      <c r="L752" s="10">
        <v>42196.34</v>
      </c>
      <c r="M752" s="8" t="s">
        <v>29</v>
      </c>
      <c r="N752" s="9">
        <v>24342.95</v>
      </c>
      <c r="O752" s="8" t="s">
        <v>30</v>
      </c>
      <c r="P752" t="str">
        <f>TEXT(Table1[[#This Row],[Transaction_Date]],"mmm")</f>
        <v>Oct</v>
      </c>
      <c r="Q752" s="11">
        <v>45938</v>
      </c>
      <c r="R752" s="8" t="s">
        <v>1806</v>
      </c>
      <c r="S752" s="8" t="s">
        <v>54</v>
      </c>
      <c r="T752" s="9">
        <v>2883.16</v>
      </c>
      <c r="U752" t="s">
        <v>77</v>
      </c>
      <c r="V752" s="8" t="s">
        <v>46</v>
      </c>
      <c r="W752"/>
      <c r="X752"/>
    </row>
    <row r="753" spans="1:24" hidden="1" x14ac:dyDescent="0.3">
      <c r="A753" t="s">
        <v>1807</v>
      </c>
      <c r="B753" t="s">
        <v>120</v>
      </c>
      <c r="C753">
        <v>40</v>
      </c>
      <c r="D753" t="s">
        <v>92</v>
      </c>
      <c r="E753" t="s">
        <v>93</v>
      </c>
      <c r="F753" t="s">
        <v>92</v>
      </c>
      <c r="G753" t="s">
        <v>80</v>
      </c>
      <c r="H753" s="8" t="s">
        <v>51</v>
      </c>
      <c r="I753" s="9">
        <v>53433.52</v>
      </c>
      <c r="J753" s="9">
        <v>23209.16</v>
      </c>
      <c r="K753" s="8" t="s">
        <v>74</v>
      </c>
      <c r="L753" s="10">
        <v>0</v>
      </c>
      <c r="M753" s="8" t="s">
        <v>75</v>
      </c>
      <c r="N753" s="9">
        <v>0</v>
      </c>
      <c r="O753" s="8" t="s">
        <v>30</v>
      </c>
      <c r="P753" t="str">
        <f>TEXT(Table1[[#This Row],[Transaction_Date]],"mmm")</f>
        <v>Oct</v>
      </c>
      <c r="Q753" s="11">
        <v>45940</v>
      </c>
      <c r="R753" s="8" t="s">
        <v>1808</v>
      </c>
      <c r="S753" s="8" t="s">
        <v>54</v>
      </c>
      <c r="T753" s="9">
        <v>4117.37</v>
      </c>
      <c r="U753" t="s">
        <v>106</v>
      </c>
      <c r="V753" s="8" t="s">
        <v>62</v>
      </c>
      <c r="W753"/>
      <c r="X753"/>
    </row>
    <row r="754" spans="1:24" hidden="1" x14ac:dyDescent="0.3">
      <c r="A754" t="s">
        <v>1809</v>
      </c>
      <c r="B754" t="s">
        <v>91</v>
      </c>
      <c r="C754">
        <v>24</v>
      </c>
      <c r="D754" t="s">
        <v>97</v>
      </c>
      <c r="E754" t="s">
        <v>98</v>
      </c>
      <c r="F754" t="s">
        <v>97</v>
      </c>
      <c r="G754" t="s">
        <v>26</v>
      </c>
      <c r="H754" s="8" t="s">
        <v>40</v>
      </c>
      <c r="I754" s="9">
        <v>61471.69</v>
      </c>
      <c r="J754" s="9">
        <v>56770.94</v>
      </c>
      <c r="K754" s="8" t="s">
        <v>28</v>
      </c>
      <c r="L754" s="10">
        <v>78020.59</v>
      </c>
      <c r="M754" s="8" t="s">
        <v>29</v>
      </c>
      <c r="N754" s="9">
        <v>27666.85</v>
      </c>
      <c r="O754" s="8" t="s">
        <v>30</v>
      </c>
      <c r="P754" t="str">
        <f>TEXT(Table1[[#This Row],[Transaction_Date]],"mmm")</f>
        <v>Feb</v>
      </c>
      <c r="Q754" s="11">
        <v>45712</v>
      </c>
      <c r="R754" s="8" t="s">
        <v>1810</v>
      </c>
      <c r="S754" s="8" t="s">
        <v>54</v>
      </c>
      <c r="T754" s="9">
        <v>2047.11</v>
      </c>
      <c r="U754" t="s">
        <v>71</v>
      </c>
      <c r="V754" s="8" t="s">
        <v>62</v>
      </c>
      <c r="W754"/>
      <c r="X754"/>
    </row>
    <row r="755" spans="1:24" x14ac:dyDescent="0.3">
      <c r="A755" t="s">
        <v>1811</v>
      </c>
      <c r="B755" t="s">
        <v>176</v>
      </c>
      <c r="C755">
        <v>47</v>
      </c>
      <c r="D755" t="s">
        <v>65</v>
      </c>
      <c r="E755" t="s">
        <v>66</v>
      </c>
      <c r="F755" t="s">
        <v>65</v>
      </c>
      <c r="G755" t="s">
        <v>39</v>
      </c>
      <c r="H755" s="8" t="s">
        <v>40</v>
      </c>
      <c r="I755" s="9">
        <v>68443.56</v>
      </c>
      <c r="J755" s="9">
        <v>45675.360000000001</v>
      </c>
      <c r="K755" s="8" t="s">
        <v>28</v>
      </c>
      <c r="L755" s="10">
        <v>33696.53</v>
      </c>
      <c r="M755" s="8" t="s">
        <v>29</v>
      </c>
      <c r="N755" s="9">
        <v>9364.4500000000007</v>
      </c>
      <c r="O755" s="8" t="s">
        <v>30</v>
      </c>
      <c r="P755" t="str">
        <f>TEXT(Table1[[#This Row],[Transaction_Date]],"mmm")</f>
        <v>Jun</v>
      </c>
      <c r="Q755" s="11">
        <v>45838</v>
      </c>
      <c r="R755" s="8" t="s">
        <v>1812</v>
      </c>
      <c r="S755" s="8" t="s">
        <v>70</v>
      </c>
      <c r="T755" s="9">
        <v>5481.32</v>
      </c>
      <c r="U755" t="s">
        <v>71</v>
      </c>
      <c r="V755" s="8" t="s">
        <v>62</v>
      </c>
      <c r="W755"/>
      <c r="X755"/>
    </row>
    <row r="756" spans="1:24" x14ac:dyDescent="0.3">
      <c r="A756" t="s">
        <v>1813</v>
      </c>
      <c r="B756" t="s">
        <v>168</v>
      </c>
      <c r="C756">
        <v>33</v>
      </c>
      <c r="D756" t="s">
        <v>49</v>
      </c>
      <c r="E756" t="s">
        <v>50</v>
      </c>
      <c r="F756" t="s">
        <v>49</v>
      </c>
      <c r="G756" t="s">
        <v>39</v>
      </c>
      <c r="H756" s="8" t="s">
        <v>51</v>
      </c>
      <c r="I756" s="9">
        <v>32828.75</v>
      </c>
      <c r="J756" s="9">
        <v>26099.85</v>
      </c>
      <c r="K756" s="8" t="s">
        <v>74</v>
      </c>
      <c r="L756" s="10">
        <v>0</v>
      </c>
      <c r="M756" s="8" t="s">
        <v>75</v>
      </c>
      <c r="N756" s="9">
        <v>0</v>
      </c>
      <c r="O756" s="8" t="s">
        <v>30</v>
      </c>
      <c r="P756" t="str">
        <f>TEXT(Table1[[#This Row],[Transaction_Date]],"mmm")</f>
        <v>Oct</v>
      </c>
      <c r="Q756" s="11">
        <v>45958</v>
      </c>
      <c r="R756" s="8" t="s">
        <v>1814</v>
      </c>
      <c r="S756" s="8" t="s">
        <v>44</v>
      </c>
      <c r="T756" s="9">
        <v>4382.49</v>
      </c>
      <c r="U756" t="s">
        <v>33</v>
      </c>
      <c r="V756" s="8" t="s">
        <v>34</v>
      </c>
      <c r="W756"/>
      <c r="X756"/>
    </row>
    <row r="757" spans="1:24" hidden="1" x14ac:dyDescent="0.3">
      <c r="A757" t="s">
        <v>1815</v>
      </c>
      <c r="B757" t="s">
        <v>1466</v>
      </c>
      <c r="C757">
        <v>56</v>
      </c>
      <c r="D757" t="s">
        <v>84</v>
      </c>
      <c r="E757" t="s">
        <v>85</v>
      </c>
      <c r="F757" t="s">
        <v>84</v>
      </c>
      <c r="G757" t="s">
        <v>51</v>
      </c>
      <c r="H757" s="8" t="s">
        <v>27</v>
      </c>
      <c r="I757" s="9">
        <v>75087.39</v>
      </c>
      <c r="J757" s="9">
        <v>32092.14</v>
      </c>
      <c r="K757" s="8" t="s">
        <v>52</v>
      </c>
      <c r="L757" s="10">
        <v>263137.53000000003</v>
      </c>
      <c r="M757" s="8" t="s">
        <v>29</v>
      </c>
      <c r="N757" s="9">
        <v>228869.78</v>
      </c>
      <c r="O757" s="8" t="s">
        <v>228</v>
      </c>
      <c r="P757" t="str">
        <f>TEXT(Table1[[#This Row],[Transaction_Date]],"mmm")</f>
        <v>Dec</v>
      </c>
      <c r="Q757" s="11">
        <v>46020</v>
      </c>
      <c r="R757" s="8" t="s">
        <v>1816</v>
      </c>
      <c r="S757" s="8" t="s">
        <v>54</v>
      </c>
      <c r="T757" s="9">
        <v>2202.98</v>
      </c>
      <c r="U757" t="s">
        <v>106</v>
      </c>
      <c r="V757" s="8" t="s">
        <v>62</v>
      </c>
      <c r="W757"/>
      <c r="X757"/>
    </row>
    <row r="758" spans="1:24" hidden="1" x14ac:dyDescent="0.3">
      <c r="A758" t="s">
        <v>1817</v>
      </c>
      <c r="B758" t="s">
        <v>574</v>
      </c>
      <c r="C758">
        <v>29</v>
      </c>
      <c r="D758" t="s">
        <v>49</v>
      </c>
      <c r="E758" t="s">
        <v>50</v>
      </c>
      <c r="F758" t="s">
        <v>49</v>
      </c>
      <c r="G758" t="s">
        <v>80</v>
      </c>
      <c r="H758" s="8" t="s">
        <v>51</v>
      </c>
      <c r="I758" s="9">
        <v>78045.460000000006</v>
      </c>
      <c r="J758" s="9">
        <v>17882.560000000001</v>
      </c>
      <c r="K758" s="8" t="s">
        <v>68</v>
      </c>
      <c r="L758" s="10">
        <v>127619.98</v>
      </c>
      <c r="M758" s="8" t="s">
        <v>29</v>
      </c>
      <c r="N758" s="9">
        <v>95596.78</v>
      </c>
      <c r="O758" s="8" t="s">
        <v>30</v>
      </c>
      <c r="P758" t="str">
        <f>TEXT(Table1[[#This Row],[Transaction_Date]],"mmm")</f>
        <v>Jun</v>
      </c>
      <c r="Q758" s="11">
        <v>45833</v>
      </c>
      <c r="R758" s="8" t="s">
        <v>1818</v>
      </c>
      <c r="S758" s="8" t="s">
        <v>44</v>
      </c>
      <c r="T758" s="9">
        <v>8050.21</v>
      </c>
      <c r="U758" t="s">
        <v>106</v>
      </c>
      <c r="V758" s="8" t="s">
        <v>62</v>
      </c>
      <c r="W758"/>
      <c r="X758"/>
    </row>
    <row r="759" spans="1:24" x14ac:dyDescent="0.3">
      <c r="A759" t="s">
        <v>1819</v>
      </c>
      <c r="B759" t="s">
        <v>152</v>
      </c>
      <c r="C759">
        <v>43</v>
      </c>
      <c r="D759" t="s">
        <v>49</v>
      </c>
      <c r="E759" t="s">
        <v>50</v>
      </c>
      <c r="F759" t="s">
        <v>49</v>
      </c>
      <c r="G759" t="s">
        <v>39</v>
      </c>
      <c r="H759" s="8" t="s">
        <v>40</v>
      </c>
      <c r="I759" s="9">
        <v>44076.23</v>
      </c>
      <c r="J759" s="9">
        <v>28543.81</v>
      </c>
      <c r="K759" s="8" t="s">
        <v>74</v>
      </c>
      <c r="L759" s="10">
        <v>0</v>
      </c>
      <c r="M759" s="8" t="s">
        <v>75</v>
      </c>
      <c r="N759" s="9">
        <v>0</v>
      </c>
      <c r="O759" s="8" t="s">
        <v>30</v>
      </c>
      <c r="P759" t="str">
        <f>TEXT(Table1[[#This Row],[Transaction_Date]],"mmm")</f>
        <v>Jul</v>
      </c>
      <c r="Q759" s="11">
        <v>45853</v>
      </c>
      <c r="R759" s="8" t="s">
        <v>1820</v>
      </c>
      <c r="S759" s="8" t="s">
        <v>32</v>
      </c>
      <c r="T759" s="9">
        <v>750.89</v>
      </c>
      <c r="U759" t="s">
        <v>61</v>
      </c>
      <c r="V759" s="8" t="s">
        <v>62</v>
      </c>
      <c r="W759"/>
      <c r="X759"/>
    </row>
    <row r="760" spans="1:24" hidden="1" x14ac:dyDescent="0.3">
      <c r="A760" t="s">
        <v>1821</v>
      </c>
      <c r="B760" t="s">
        <v>771</v>
      </c>
      <c r="C760">
        <v>26</v>
      </c>
      <c r="D760" t="s">
        <v>37</v>
      </c>
      <c r="E760" t="s">
        <v>38</v>
      </c>
      <c r="F760" t="s">
        <v>37</v>
      </c>
      <c r="G760" t="s">
        <v>26</v>
      </c>
      <c r="H760" s="8" t="s">
        <v>51</v>
      </c>
      <c r="I760" s="9">
        <v>46065.57</v>
      </c>
      <c r="J760" s="9">
        <v>16998.38</v>
      </c>
      <c r="K760" s="8" t="s">
        <v>59</v>
      </c>
      <c r="L760" s="10">
        <v>64380.51</v>
      </c>
      <c r="M760" s="8" t="s">
        <v>29</v>
      </c>
      <c r="N760" s="9">
        <v>23575.83</v>
      </c>
      <c r="O760" s="8" t="s">
        <v>30</v>
      </c>
      <c r="P760" t="str">
        <f>TEXT(Table1[[#This Row],[Transaction_Date]],"mmm")</f>
        <v>Apr</v>
      </c>
      <c r="Q760" s="11">
        <v>45757</v>
      </c>
      <c r="R760" s="8" t="s">
        <v>1822</v>
      </c>
      <c r="S760" s="8" t="s">
        <v>54</v>
      </c>
      <c r="T760" s="9">
        <v>830.24</v>
      </c>
      <c r="U760" t="s">
        <v>45</v>
      </c>
      <c r="V760" s="8" t="s">
        <v>62</v>
      </c>
      <c r="W760"/>
      <c r="X760"/>
    </row>
    <row r="761" spans="1:24" x14ac:dyDescent="0.3">
      <c r="A761" t="s">
        <v>1823</v>
      </c>
      <c r="B761" t="s">
        <v>279</v>
      </c>
      <c r="C761">
        <v>34</v>
      </c>
      <c r="D761" t="s">
        <v>57</v>
      </c>
      <c r="E761" t="s">
        <v>58</v>
      </c>
      <c r="F761" t="s">
        <v>57</v>
      </c>
      <c r="G761" t="s">
        <v>39</v>
      </c>
      <c r="H761" s="8" t="s">
        <v>40</v>
      </c>
      <c r="I761" s="9">
        <v>85612.08</v>
      </c>
      <c r="J761" s="9">
        <v>29975.87</v>
      </c>
      <c r="K761" s="8" t="s">
        <v>59</v>
      </c>
      <c r="L761" s="10">
        <v>51063.07</v>
      </c>
      <c r="M761" s="8" t="s">
        <v>29</v>
      </c>
      <c r="N761" s="9">
        <v>45428.160000000003</v>
      </c>
      <c r="O761" s="8" t="s">
        <v>30</v>
      </c>
      <c r="P761" t="str">
        <f>TEXT(Table1[[#This Row],[Transaction_Date]],"mmm")</f>
        <v>Jun</v>
      </c>
      <c r="Q761" s="11">
        <v>45811</v>
      </c>
      <c r="R761" s="8" t="s">
        <v>1824</v>
      </c>
      <c r="S761" s="8" t="s">
        <v>32</v>
      </c>
      <c r="T761" s="9">
        <v>5831.2</v>
      </c>
      <c r="U761" t="s">
        <v>33</v>
      </c>
      <c r="V761" s="8" t="s">
        <v>62</v>
      </c>
      <c r="W761"/>
      <c r="X761"/>
    </row>
    <row r="762" spans="1:24" hidden="1" x14ac:dyDescent="0.3">
      <c r="A762" t="s">
        <v>1825</v>
      </c>
      <c r="B762" t="s">
        <v>1188</v>
      </c>
      <c r="C762">
        <v>42</v>
      </c>
      <c r="D762" t="s">
        <v>97</v>
      </c>
      <c r="E762" t="s">
        <v>98</v>
      </c>
      <c r="F762" t="s">
        <v>97</v>
      </c>
      <c r="G762" t="s">
        <v>80</v>
      </c>
      <c r="H762" s="8" t="s">
        <v>67</v>
      </c>
      <c r="I762" s="9">
        <v>23918.67</v>
      </c>
      <c r="J762" s="9">
        <v>18773.18</v>
      </c>
      <c r="K762" s="8" t="s">
        <v>28</v>
      </c>
      <c r="L762" s="10">
        <v>52297.24</v>
      </c>
      <c r="M762" s="8" t="s">
        <v>29</v>
      </c>
      <c r="N762" s="9">
        <v>47883.25</v>
      </c>
      <c r="O762" s="8" t="s">
        <v>228</v>
      </c>
      <c r="P762" t="str">
        <f>TEXT(Table1[[#This Row],[Transaction_Date]],"mmm")</f>
        <v>Mar</v>
      </c>
      <c r="Q762" s="11">
        <v>45739</v>
      </c>
      <c r="R762" s="8" t="s">
        <v>1826</v>
      </c>
      <c r="S762" s="8" t="s">
        <v>54</v>
      </c>
      <c r="T762" s="9">
        <v>7466.2</v>
      </c>
      <c r="U762" t="s">
        <v>45</v>
      </c>
      <c r="V762" s="8" t="s">
        <v>34</v>
      </c>
      <c r="W762"/>
      <c r="X762"/>
    </row>
    <row r="763" spans="1:24" hidden="1" x14ac:dyDescent="0.3">
      <c r="A763" t="s">
        <v>1827</v>
      </c>
      <c r="B763" t="s">
        <v>904</v>
      </c>
      <c r="C763">
        <v>47</v>
      </c>
      <c r="D763" t="s">
        <v>97</v>
      </c>
      <c r="E763" t="s">
        <v>98</v>
      </c>
      <c r="F763" t="s">
        <v>97</v>
      </c>
      <c r="G763" t="s">
        <v>80</v>
      </c>
      <c r="H763" s="8" t="s">
        <v>27</v>
      </c>
      <c r="I763" s="9">
        <v>46308.97</v>
      </c>
      <c r="J763" s="9">
        <v>7856.87</v>
      </c>
      <c r="K763" s="8" t="s">
        <v>74</v>
      </c>
      <c r="L763" s="10">
        <v>0</v>
      </c>
      <c r="M763" s="8" t="s">
        <v>75</v>
      </c>
      <c r="N763" s="9">
        <v>0</v>
      </c>
      <c r="O763" s="8" t="s">
        <v>30</v>
      </c>
      <c r="P763" t="str">
        <f>TEXT(Table1[[#This Row],[Transaction_Date]],"mmm")</f>
        <v>Sep</v>
      </c>
      <c r="Q763" s="11">
        <v>45917</v>
      </c>
      <c r="R763" s="8" t="s">
        <v>1828</v>
      </c>
      <c r="S763" s="8" t="s">
        <v>32</v>
      </c>
      <c r="T763" s="9">
        <v>2842.31</v>
      </c>
      <c r="U763" t="s">
        <v>106</v>
      </c>
      <c r="V763" s="8" t="s">
        <v>62</v>
      </c>
      <c r="W763"/>
      <c r="X763"/>
    </row>
    <row r="764" spans="1:24" hidden="1" x14ac:dyDescent="0.3">
      <c r="A764" t="s">
        <v>1829</v>
      </c>
      <c r="B764" t="s">
        <v>237</v>
      </c>
      <c r="C764">
        <v>37</v>
      </c>
      <c r="D764" t="s">
        <v>84</v>
      </c>
      <c r="E764" t="s">
        <v>85</v>
      </c>
      <c r="F764" t="s">
        <v>84</v>
      </c>
      <c r="G764" t="s">
        <v>26</v>
      </c>
      <c r="H764" s="8" t="s">
        <v>40</v>
      </c>
      <c r="I764" s="9">
        <v>40035.279999999999</v>
      </c>
      <c r="J764" s="9">
        <v>27213.15</v>
      </c>
      <c r="K764" s="8" t="s">
        <v>68</v>
      </c>
      <c r="L764" s="10">
        <v>43585.49</v>
      </c>
      <c r="M764" s="8" t="s">
        <v>29</v>
      </c>
      <c r="N764" s="9">
        <v>31599.15</v>
      </c>
      <c r="O764" s="8" t="s">
        <v>30</v>
      </c>
      <c r="P764" t="str">
        <f>TEXT(Table1[[#This Row],[Transaction_Date]],"mmm")</f>
        <v>May</v>
      </c>
      <c r="Q764" s="11">
        <v>45792</v>
      </c>
      <c r="R764" s="8" t="s">
        <v>1830</v>
      </c>
      <c r="S764" s="8" t="s">
        <v>54</v>
      </c>
      <c r="T764" s="9">
        <v>3890.52</v>
      </c>
      <c r="U764" t="s">
        <v>45</v>
      </c>
      <c r="V764" s="8" t="s">
        <v>46</v>
      </c>
      <c r="W764"/>
      <c r="X764"/>
    </row>
    <row r="765" spans="1:24" x14ac:dyDescent="0.3">
      <c r="A765" t="s">
        <v>1831</v>
      </c>
      <c r="B765" t="s">
        <v>179</v>
      </c>
      <c r="C765">
        <v>44</v>
      </c>
      <c r="D765" t="s">
        <v>84</v>
      </c>
      <c r="E765" t="s">
        <v>85</v>
      </c>
      <c r="F765" t="s">
        <v>84</v>
      </c>
      <c r="G765" t="s">
        <v>39</v>
      </c>
      <c r="H765" s="8" t="s">
        <v>40</v>
      </c>
      <c r="I765" s="9">
        <v>32883.07</v>
      </c>
      <c r="J765" s="9">
        <v>8890.58</v>
      </c>
      <c r="K765" s="8" t="s">
        <v>28</v>
      </c>
      <c r="L765" s="10">
        <v>34808.74</v>
      </c>
      <c r="M765" s="8" t="s">
        <v>29</v>
      </c>
      <c r="N765" s="9">
        <v>32412.31</v>
      </c>
      <c r="O765" s="8" t="s">
        <v>30</v>
      </c>
      <c r="P765" t="str">
        <f>TEXT(Table1[[#This Row],[Transaction_Date]],"mmm")</f>
        <v>Jun</v>
      </c>
      <c r="Q765" s="11">
        <v>45829</v>
      </c>
      <c r="R765" s="8" t="s">
        <v>1832</v>
      </c>
      <c r="S765" s="8" t="s">
        <v>44</v>
      </c>
      <c r="T765" s="9">
        <v>3870.91</v>
      </c>
      <c r="U765" t="s">
        <v>45</v>
      </c>
      <c r="V765" s="8" t="s">
        <v>62</v>
      </c>
      <c r="W765"/>
      <c r="X765"/>
    </row>
    <row r="766" spans="1:24" x14ac:dyDescent="0.3">
      <c r="A766" t="s">
        <v>1833</v>
      </c>
      <c r="B766" t="s">
        <v>152</v>
      </c>
      <c r="C766">
        <v>27</v>
      </c>
      <c r="D766" t="s">
        <v>65</v>
      </c>
      <c r="E766" t="s">
        <v>66</v>
      </c>
      <c r="F766" t="s">
        <v>65</v>
      </c>
      <c r="G766" t="s">
        <v>39</v>
      </c>
      <c r="H766" s="8" t="s">
        <v>40</v>
      </c>
      <c r="I766" s="9">
        <v>69011.98</v>
      </c>
      <c r="J766" s="9">
        <v>44356.06</v>
      </c>
      <c r="K766" s="8" t="s">
        <v>41</v>
      </c>
      <c r="L766" s="10">
        <v>41925.769999999997</v>
      </c>
      <c r="M766" s="8" t="s">
        <v>42</v>
      </c>
      <c r="N766" s="9">
        <v>0</v>
      </c>
      <c r="O766" s="8" t="s">
        <v>30</v>
      </c>
      <c r="P766" t="str">
        <f>TEXT(Table1[[#This Row],[Transaction_Date]],"mmm")</f>
        <v>Mar</v>
      </c>
      <c r="Q766" s="11">
        <v>45744</v>
      </c>
      <c r="R766" s="8" t="s">
        <v>1834</v>
      </c>
      <c r="S766" s="8" t="s">
        <v>44</v>
      </c>
      <c r="T766" s="9">
        <v>1894.65</v>
      </c>
      <c r="U766" t="s">
        <v>33</v>
      </c>
      <c r="V766" s="8" t="s">
        <v>62</v>
      </c>
      <c r="W766"/>
      <c r="X766"/>
    </row>
    <row r="767" spans="1:24" hidden="1" x14ac:dyDescent="0.3">
      <c r="A767" t="s">
        <v>1835</v>
      </c>
      <c r="B767" t="s">
        <v>1316</v>
      </c>
      <c r="C767">
        <v>57</v>
      </c>
      <c r="D767" t="s">
        <v>97</v>
      </c>
      <c r="E767" t="s">
        <v>98</v>
      </c>
      <c r="F767" t="s">
        <v>97</v>
      </c>
      <c r="G767" t="s">
        <v>80</v>
      </c>
      <c r="H767" s="8" t="s">
        <v>27</v>
      </c>
      <c r="I767" s="9">
        <v>45615.43</v>
      </c>
      <c r="J767" s="9">
        <v>9336</v>
      </c>
      <c r="K767" s="8" t="s">
        <v>68</v>
      </c>
      <c r="L767" s="10">
        <v>44709.77</v>
      </c>
      <c r="M767" s="8" t="s">
        <v>29</v>
      </c>
      <c r="N767" s="9">
        <v>25183.1</v>
      </c>
      <c r="O767" s="8" t="s">
        <v>30</v>
      </c>
      <c r="P767" t="str">
        <f>TEXT(Table1[[#This Row],[Transaction_Date]],"mmm")</f>
        <v>Oct</v>
      </c>
      <c r="Q767" s="11">
        <v>45945</v>
      </c>
      <c r="R767" s="8" t="s">
        <v>1836</v>
      </c>
      <c r="S767" s="8" t="s">
        <v>54</v>
      </c>
      <c r="T767" s="9">
        <v>16192.08</v>
      </c>
      <c r="U767" t="s">
        <v>77</v>
      </c>
      <c r="V767" s="8" t="s">
        <v>62</v>
      </c>
      <c r="W767"/>
      <c r="X767"/>
    </row>
    <row r="768" spans="1:24" hidden="1" x14ac:dyDescent="0.3">
      <c r="A768" t="s">
        <v>1837</v>
      </c>
      <c r="B768" t="s">
        <v>734</v>
      </c>
      <c r="C768">
        <v>42</v>
      </c>
      <c r="D768" t="s">
        <v>65</v>
      </c>
      <c r="E768" t="s">
        <v>66</v>
      </c>
      <c r="F768" t="s">
        <v>65</v>
      </c>
      <c r="G768" t="s">
        <v>51</v>
      </c>
      <c r="H768" s="8" t="s">
        <v>27</v>
      </c>
      <c r="I768" s="9">
        <v>45013.21</v>
      </c>
      <c r="J768" s="9">
        <v>6202.1</v>
      </c>
      <c r="K768" s="8" t="s">
        <v>59</v>
      </c>
      <c r="L768" s="10">
        <v>119097.58</v>
      </c>
      <c r="M768" s="8" t="s">
        <v>29</v>
      </c>
      <c r="N768" s="9">
        <v>86789.71</v>
      </c>
      <c r="O768" s="8" t="s">
        <v>30</v>
      </c>
      <c r="P768" t="str">
        <f>TEXT(Table1[[#This Row],[Transaction_Date]],"mmm")</f>
        <v>Dec</v>
      </c>
      <c r="Q768" s="11">
        <v>46004</v>
      </c>
      <c r="R768" s="8" t="s">
        <v>1838</v>
      </c>
      <c r="S768" s="8" t="s">
        <v>54</v>
      </c>
      <c r="T768" s="9">
        <v>5399.52</v>
      </c>
      <c r="U768" t="s">
        <v>77</v>
      </c>
      <c r="V768" s="8" t="s">
        <v>46</v>
      </c>
      <c r="W768"/>
      <c r="X768"/>
    </row>
    <row r="769" spans="1:24" x14ac:dyDescent="0.3">
      <c r="A769" t="s">
        <v>1839</v>
      </c>
      <c r="B769" t="s">
        <v>379</v>
      </c>
      <c r="C769">
        <v>25</v>
      </c>
      <c r="D769" t="s">
        <v>92</v>
      </c>
      <c r="E769" t="s">
        <v>93</v>
      </c>
      <c r="F769" t="s">
        <v>92</v>
      </c>
      <c r="G769" t="s">
        <v>39</v>
      </c>
      <c r="H769" s="8" t="s">
        <v>27</v>
      </c>
      <c r="I769" s="9">
        <v>46368</v>
      </c>
      <c r="J769" s="9">
        <v>56572.58</v>
      </c>
      <c r="K769" s="8" t="s">
        <v>74</v>
      </c>
      <c r="L769" s="10">
        <v>0</v>
      </c>
      <c r="M769" s="8" t="s">
        <v>75</v>
      </c>
      <c r="N769" s="9">
        <v>0</v>
      </c>
      <c r="O769" s="8" t="s">
        <v>30</v>
      </c>
      <c r="P769" t="str">
        <f>TEXT(Table1[[#This Row],[Transaction_Date]],"mmm")</f>
        <v>May</v>
      </c>
      <c r="Q769" s="11">
        <v>45802</v>
      </c>
      <c r="R769" s="8" t="s">
        <v>1840</v>
      </c>
      <c r="S769" s="8" t="s">
        <v>32</v>
      </c>
      <c r="T769" s="9">
        <v>4770.3</v>
      </c>
      <c r="U769" t="s">
        <v>61</v>
      </c>
      <c r="V769" s="8" t="s">
        <v>62</v>
      </c>
      <c r="W769"/>
      <c r="X769"/>
    </row>
    <row r="770" spans="1:24" x14ac:dyDescent="0.3">
      <c r="A770" t="s">
        <v>1841</v>
      </c>
      <c r="B770" t="s">
        <v>429</v>
      </c>
      <c r="C770">
        <v>36</v>
      </c>
      <c r="D770" t="s">
        <v>65</v>
      </c>
      <c r="E770" t="s">
        <v>66</v>
      </c>
      <c r="F770" t="s">
        <v>65</v>
      </c>
      <c r="G770" t="s">
        <v>39</v>
      </c>
      <c r="H770" s="8" t="s">
        <v>51</v>
      </c>
      <c r="I770" s="9">
        <v>42840.76</v>
      </c>
      <c r="J770" s="9">
        <v>12833.6</v>
      </c>
      <c r="K770" s="8" t="s">
        <v>41</v>
      </c>
      <c r="L770" s="10">
        <v>44971.16</v>
      </c>
      <c r="M770" s="8" t="s">
        <v>42</v>
      </c>
      <c r="N770" s="9">
        <v>0</v>
      </c>
      <c r="O770" s="8" t="s">
        <v>30</v>
      </c>
      <c r="P770" t="str">
        <f>TEXT(Table1[[#This Row],[Transaction_Date]],"mmm")</f>
        <v>Jun</v>
      </c>
      <c r="Q770" s="11">
        <v>45813</v>
      </c>
      <c r="R770" s="8" t="s">
        <v>1842</v>
      </c>
      <c r="S770" s="8" t="s">
        <v>70</v>
      </c>
      <c r="T770" s="9">
        <v>6248.68</v>
      </c>
      <c r="U770" t="s">
        <v>61</v>
      </c>
      <c r="V770" s="8" t="s">
        <v>62</v>
      </c>
      <c r="W770"/>
      <c r="X770"/>
    </row>
    <row r="771" spans="1:24" x14ac:dyDescent="0.3">
      <c r="A771" t="s">
        <v>1843</v>
      </c>
      <c r="B771" t="s">
        <v>203</v>
      </c>
      <c r="C771">
        <v>39</v>
      </c>
      <c r="D771" t="s">
        <v>92</v>
      </c>
      <c r="E771" t="s">
        <v>93</v>
      </c>
      <c r="F771" t="s">
        <v>92</v>
      </c>
      <c r="G771" t="s">
        <v>39</v>
      </c>
      <c r="H771" s="8" t="s">
        <v>67</v>
      </c>
      <c r="I771" s="9">
        <v>15423.29</v>
      </c>
      <c r="J771" s="9">
        <v>83258.89</v>
      </c>
      <c r="K771" s="8" t="s">
        <v>52</v>
      </c>
      <c r="L771" s="10">
        <v>70964.02</v>
      </c>
      <c r="M771" s="8" t="s">
        <v>42</v>
      </c>
      <c r="N771" s="9">
        <v>0</v>
      </c>
      <c r="O771" s="8" t="s">
        <v>30</v>
      </c>
      <c r="P771" t="str">
        <f>TEXT(Table1[[#This Row],[Transaction_Date]],"mmm")</f>
        <v>Mar</v>
      </c>
      <c r="Q771" s="11">
        <v>45719</v>
      </c>
      <c r="R771" s="8" t="s">
        <v>1844</v>
      </c>
      <c r="S771" s="8" t="s">
        <v>32</v>
      </c>
      <c r="T771" s="9">
        <v>1391.34</v>
      </c>
      <c r="U771" t="s">
        <v>45</v>
      </c>
      <c r="V771" s="8" t="s">
        <v>46</v>
      </c>
      <c r="W771"/>
      <c r="X771"/>
    </row>
    <row r="772" spans="1:24" x14ac:dyDescent="0.3">
      <c r="A772" t="s">
        <v>1845</v>
      </c>
      <c r="B772" t="s">
        <v>580</v>
      </c>
      <c r="C772">
        <v>43</v>
      </c>
      <c r="D772" t="s">
        <v>97</v>
      </c>
      <c r="E772" t="s">
        <v>98</v>
      </c>
      <c r="F772" t="s">
        <v>97</v>
      </c>
      <c r="G772" t="s">
        <v>39</v>
      </c>
      <c r="H772" s="8" t="s">
        <v>40</v>
      </c>
      <c r="I772" s="9">
        <v>67892.679999999993</v>
      </c>
      <c r="J772" s="9">
        <v>55149.24</v>
      </c>
      <c r="K772" s="8" t="s">
        <v>74</v>
      </c>
      <c r="L772" s="10">
        <v>0</v>
      </c>
      <c r="M772" s="8" t="s">
        <v>75</v>
      </c>
      <c r="N772" s="9">
        <v>0</v>
      </c>
      <c r="O772" s="8" t="s">
        <v>30</v>
      </c>
      <c r="P772" t="str">
        <f>TEXT(Table1[[#This Row],[Transaction_Date]],"mmm")</f>
        <v>Jul</v>
      </c>
      <c r="Q772" s="11">
        <v>45860</v>
      </c>
      <c r="R772" s="8" t="s">
        <v>1846</v>
      </c>
      <c r="S772" s="8" t="s">
        <v>70</v>
      </c>
      <c r="T772" s="9">
        <v>13169.5</v>
      </c>
      <c r="U772" t="s">
        <v>106</v>
      </c>
      <c r="V772" s="8" t="s">
        <v>62</v>
      </c>
      <c r="W772"/>
      <c r="X772"/>
    </row>
    <row r="773" spans="1:24" x14ac:dyDescent="0.3">
      <c r="A773" t="s">
        <v>1847</v>
      </c>
      <c r="B773" t="s">
        <v>291</v>
      </c>
      <c r="C773">
        <v>26</v>
      </c>
      <c r="D773" t="s">
        <v>57</v>
      </c>
      <c r="E773" t="s">
        <v>58</v>
      </c>
      <c r="F773" t="s">
        <v>57</v>
      </c>
      <c r="G773" t="s">
        <v>39</v>
      </c>
      <c r="H773" s="8" t="s">
        <v>67</v>
      </c>
      <c r="I773" s="9">
        <v>12424.54</v>
      </c>
      <c r="J773" s="9">
        <v>38834.71</v>
      </c>
      <c r="K773" s="8" t="s">
        <v>52</v>
      </c>
      <c r="L773" s="10">
        <v>25000</v>
      </c>
      <c r="M773" s="8" t="s">
        <v>29</v>
      </c>
      <c r="N773" s="9">
        <v>11707.19</v>
      </c>
      <c r="O773" s="8" t="s">
        <v>30</v>
      </c>
      <c r="P773" t="str">
        <f>TEXT(Table1[[#This Row],[Transaction_Date]],"mmm")</f>
        <v>Jul</v>
      </c>
      <c r="Q773" s="11">
        <v>45863</v>
      </c>
      <c r="R773" s="8" t="s">
        <v>1848</v>
      </c>
      <c r="S773" s="8" t="s">
        <v>70</v>
      </c>
      <c r="T773" s="9">
        <v>3924.53</v>
      </c>
      <c r="U773" t="s">
        <v>77</v>
      </c>
      <c r="V773" s="8" t="s">
        <v>62</v>
      </c>
      <c r="W773"/>
      <c r="X773"/>
    </row>
    <row r="774" spans="1:24" x14ac:dyDescent="0.3">
      <c r="A774" t="s">
        <v>1849</v>
      </c>
      <c r="B774" t="s">
        <v>346</v>
      </c>
      <c r="C774">
        <v>32</v>
      </c>
      <c r="D774" t="s">
        <v>24</v>
      </c>
      <c r="E774" t="s">
        <v>25</v>
      </c>
      <c r="F774" t="s">
        <v>24</v>
      </c>
      <c r="G774" t="s">
        <v>39</v>
      </c>
      <c r="H774" s="8" t="s">
        <v>40</v>
      </c>
      <c r="I774" s="9">
        <v>56680.29</v>
      </c>
      <c r="J774" s="9">
        <v>33321.72</v>
      </c>
      <c r="K774" s="8" t="s">
        <v>74</v>
      </c>
      <c r="L774" s="10">
        <v>0</v>
      </c>
      <c r="M774" s="8" t="s">
        <v>75</v>
      </c>
      <c r="N774" s="9">
        <v>0</v>
      </c>
      <c r="O774" s="8" t="s">
        <v>30</v>
      </c>
      <c r="P774" t="str">
        <f>TEXT(Table1[[#This Row],[Transaction_Date]],"mmm")</f>
        <v>Nov</v>
      </c>
      <c r="Q774" s="11">
        <v>45988</v>
      </c>
      <c r="R774" s="8" t="s">
        <v>1850</v>
      </c>
      <c r="S774" s="8" t="s">
        <v>44</v>
      </c>
      <c r="T774" s="9">
        <v>15853.7</v>
      </c>
      <c r="U774" t="s">
        <v>45</v>
      </c>
      <c r="V774" s="8" t="s">
        <v>34</v>
      </c>
      <c r="W774"/>
      <c r="X774"/>
    </row>
    <row r="775" spans="1:24" x14ac:dyDescent="0.3">
      <c r="A775" t="s">
        <v>1851</v>
      </c>
      <c r="B775" t="s">
        <v>401</v>
      </c>
      <c r="C775">
        <v>21</v>
      </c>
      <c r="D775" t="s">
        <v>37</v>
      </c>
      <c r="E775" t="s">
        <v>38</v>
      </c>
      <c r="F775" t="s">
        <v>37</v>
      </c>
      <c r="G775" t="s">
        <v>39</v>
      </c>
      <c r="H775" s="8" t="s">
        <v>40</v>
      </c>
      <c r="I775" s="9">
        <v>14424.04</v>
      </c>
      <c r="J775" s="9">
        <v>32562.17</v>
      </c>
      <c r="K775" s="8" t="s">
        <v>74</v>
      </c>
      <c r="L775" s="10">
        <v>0</v>
      </c>
      <c r="M775" s="8" t="s">
        <v>75</v>
      </c>
      <c r="N775" s="9">
        <v>0</v>
      </c>
      <c r="O775" s="8" t="s">
        <v>30</v>
      </c>
      <c r="P775" t="str">
        <f>TEXT(Table1[[#This Row],[Transaction_Date]],"mmm")</f>
        <v>Jul</v>
      </c>
      <c r="Q775" s="11">
        <v>45867</v>
      </c>
      <c r="R775" s="8" t="s">
        <v>1852</v>
      </c>
      <c r="S775" s="8" t="s">
        <v>70</v>
      </c>
      <c r="T775" s="9">
        <v>1361.24</v>
      </c>
      <c r="U775" t="s">
        <v>106</v>
      </c>
      <c r="V775" s="8" t="s">
        <v>62</v>
      </c>
      <c r="W775"/>
      <c r="X775"/>
    </row>
    <row r="776" spans="1:24" x14ac:dyDescent="0.3">
      <c r="A776" t="s">
        <v>1853</v>
      </c>
      <c r="B776" t="s">
        <v>790</v>
      </c>
      <c r="C776">
        <v>36</v>
      </c>
      <c r="D776" t="s">
        <v>24</v>
      </c>
      <c r="E776" t="s">
        <v>25</v>
      </c>
      <c r="F776" t="s">
        <v>24</v>
      </c>
      <c r="G776" t="s">
        <v>39</v>
      </c>
      <c r="H776" s="8" t="s">
        <v>40</v>
      </c>
      <c r="I776" s="9">
        <v>59565.93</v>
      </c>
      <c r="J776" s="9">
        <v>13840.46</v>
      </c>
      <c r="K776" s="8" t="s">
        <v>74</v>
      </c>
      <c r="L776" s="10">
        <v>0</v>
      </c>
      <c r="M776" s="8" t="s">
        <v>75</v>
      </c>
      <c r="N776" s="9">
        <v>0</v>
      </c>
      <c r="O776" s="8" t="s">
        <v>30</v>
      </c>
      <c r="P776" t="str">
        <f>TEXT(Table1[[#This Row],[Transaction_Date]],"mmm")</f>
        <v>Nov</v>
      </c>
      <c r="Q776" s="11">
        <v>45986</v>
      </c>
      <c r="R776" s="8" t="s">
        <v>1854</v>
      </c>
      <c r="S776" s="8" t="s">
        <v>70</v>
      </c>
      <c r="T776" s="9">
        <v>775.27</v>
      </c>
      <c r="U776" t="s">
        <v>77</v>
      </c>
      <c r="V776" s="8" t="s">
        <v>34</v>
      </c>
      <c r="W776"/>
      <c r="X776"/>
    </row>
    <row r="777" spans="1:24" hidden="1" x14ac:dyDescent="0.3">
      <c r="A777" t="s">
        <v>1855</v>
      </c>
      <c r="B777" t="s">
        <v>251</v>
      </c>
      <c r="C777">
        <v>48</v>
      </c>
      <c r="D777" t="s">
        <v>57</v>
      </c>
      <c r="E777" t="s">
        <v>58</v>
      </c>
      <c r="F777" t="s">
        <v>57</v>
      </c>
      <c r="G777" t="s">
        <v>26</v>
      </c>
      <c r="H777" s="8" t="s">
        <v>51</v>
      </c>
      <c r="I777" s="9">
        <v>82865.27</v>
      </c>
      <c r="J777" s="9">
        <v>7694.99</v>
      </c>
      <c r="K777" s="8" t="s">
        <v>74</v>
      </c>
      <c r="L777" s="10">
        <v>0</v>
      </c>
      <c r="M777" s="8" t="s">
        <v>75</v>
      </c>
      <c r="N777" s="9">
        <v>0</v>
      </c>
      <c r="O777" s="8" t="s">
        <v>30</v>
      </c>
      <c r="P777" t="str">
        <f>TEXT(Table1[[#This Row],[Transaction_Date]],"mmm")</f>
        <v>Aug</v>
      </c>
      <c r="Q777" s="11">
        <v>45891</v>
      </c>
      <c r="R777" s="8" t="s">
        <v>1856</v>
      </c>
      <c r="S777" s="8" t="s">
        <v>32</v>
      </c>
      <c r="T777" s="9">
        <v>3893.14</v>
      </c>
      <c r="U777" t="s">
        <v>45</v>
      </c>
      <c r="V777" s="8" t="s">
        <v>46</v>
      </c>
      <c r="W777"/>
      <c r="X777"/>
    </row>
    <row r="778" spans="1:24" hidden="1" x14ac:dyDescent="0.3">
      <c r="A778" t="s">
        <v>1857</v>
      </c>
      <c r="B778" t="s">
        <v>812</v>
      </c>
      <c r="C778">
        <v>40</v>
      </c>
      <c r="D778" t="s">
        <v>65</v>
      </c>
      <c r="E778" t="s">
        <v>66</v>
      </c>
      <c r="F778" t="s">
        <v>65</v>
      </c>
      <c r="G778" t="s">
        <v>26</v>
      </c>
      <c r="H778" s="8" t="s">
        <v>27</v>
      </c>
      <c r="I778" s="9">
        <v>94616.41</v>
      </c>
      <c r="J778" s="9">
        <v>21556.639999999999</v>
      </c>
      <c r="K778" s="8" t="s">
        <v>59</v>
      </c>
      <c r="L778" s="10">
        <v>36436.400000000001</v>
      </c>
      <c r="M778" s="8" t="s">
        <v>29</v>
      </c>
      <c r="N778" s="9">
        <v>30506.61</v>
      </c>
      <c r="O778" s="8" t="s">
        <v>30</v>
      </c>
      <c r="P778" t="str">
        <f>TEXT(Table1[[#This Row],[Transaction_Date]],"mmm")</f>
        <v>Oct</v>
      </c>
      <c r="Q778" s="11">
        <v>45955</v>
      </c>
      <c r="R778" s="8" t="s">
        <v>1858</v>
      </c>
      <c r="S778" s="8" t="s">
        <v>54</v>
      </c>
      <c r="T778" s="9">
        <v>5797.12</v>
      </c>
      <c r="U778" t="s">
        <v>106</v>
      </c>
      <c r="V778" s="8" t="s">
        <v>62</v>
      </c>
      <c r="W778"/>
      <c r="X778"/>
    </row>
    <row r="779" spans="1:24" x14ac:dyDescent="0.3">
      <c r="A779" t="s">
        <v>1859</v>
      </c>
      <c r="B779" t="s">
        <v>424</v>
      </c>
      <c r="C779">
        <v>31</v>
      </c>
      <c r="D779" t="s">
        <v>97</v>
      </c>
      <c r="E779" t="s">
        <v>98</v>
      </c>
      <c r="F779" t="s">
        <v>97</v>
      </c>
      <c r="G779" t="s">
        <v>39</v>
      </c>
      <c r="H779" s="8" t="s">
        <v>40</v>
      </c>
      <c r="I779" s="9">
        <v>71412.53</v>
      </c>
      <c r="J779" s="9">
        <v>41648.31</v>
      </c>
      <c r="K779" s="8" t="s">
        <v>74</v>
      </c>
      <c r="L779" s="10">
        <v>0</v>
      </c>
      <c r="M779" s="8" t="s">
        <v>75</v>
      </c>
      <c r="N779" s="9">
        <v>0</v>
      </c>
      <c r="O779" s="8" t="s">
        <v>30</v>
      </c>
      <c r="P779" t="str">
        <f>TEXT(Table1[[#This Row],[Transaction_Date]],"mmm")</f>
        <v>Mar</v>
      </c>
      <c r="Q779" s="11">
        <v>45732</v>
      </c>
      <c r="R779" s="8" t="s">
        <v>1860</v>
      </c>
      <c r="S779" s="8" t="s">
        <v>44</v>
      </c>
      <c r="T779" s="9">
        <v>3848.34</v>
      </c>
      <c r="U779" t="s">
        <v>71</v>
      </c>
      <c r="V779" s="8" t="s">
        <v>34</v>
      </c>
      <c r="W779"/>
      <c r="X779"/>
    </row>
    <row r="780" spans="1:24" hidden="1" x14ac:dyDescent="0.3">
      <c r="A780" t="s">
        <v>1861</v>
      </c>
      <c r="B780" t="s">
        <v>108</v>
      </c>
      <c r="C780">
        <v>38</v>
      </c>
      <c r="D780" t="s">
        <v>97</v>
      </c>
      <c r="E780" t="s">
        <v>98</v>
      </c>
      <c r="F780" t="s">
        <v>97</v>
      </c>
      <c r="G780" t="s">
        <v>26</v>
      </c>
      <c r="H780" s="8" t="s">
        <v>51</v>
      </c>
      <c r="I780" s="9">
        <v>71146.91</v>
      </c>
      <c r="J780" s="9">
        <v>7495.94</v>
      </c>
      <c r="K780" s="8" t="s">
        <v>28</v>
      </c>
      <c r="L780" s="10">
        <v>38911.64</v>
      </c>
      <c r="M780" s="8" t="s">
        <v>29</v>
      </c>
      <c r="N780" s="9">
        <v>17928.689999999999</v>
      </c>
      <c r="O780" s="8" t="s">
        <v>30</v>
      </c>
      <c r="P780" t="str">
        <f>TEXT(Table1[[#This Row],[Transaction_Date]],"mmm")</f>
        <v>Oct</v>
      </c>
      <c r="Q780" s="11">
        <v>45958</v>
      </c>
      <c r="R780" s="8" t="s">
        <v>1862</v>
      </c>
      <c r="S780" s="8" t="s">
        <v>54</v>
      </c>
      <c r="T780" s="9">
        <v>2983.02</v>
      </c>
      <c r="U780" t="s">
        <v>61</v>
      </c>
      <c r="V780" s="8" t="s">
        <v>62</v>
      </c>
      <c r="W780"/>
      <c r="X780"/>
    </row>
    <row r="781" spans="1:24" x14ac:dyDescent="0.3">
      <c r="A781" t="s">
        <v>1863</v>
      </c>
      <c r="B781" t="s">
        <v>396</v>
      </c>
      <c r="C781">
        <v>39</v>
      </c>
      <c r="D781" t="s">
        <v>65</v>
      </c>
      <c r="E781" t="s">
        <v>66</v>
      </c>
      <c r="F781" t="s">
        <v>65</v>
      </c>
      <c r="G781" t="s">
        <v>39</v>
      </c>
      <c r="H781" s="8" t="s">
        <v>40</v>
      </c>
      <c r="I781" s="9">
        <v>74461.61</v>
      </c>
      <c r="J781" s="9">
        <v>29707.23</v>
      </c>
      <c r="K781" s="8" t="s">
        <v>68</v>
      </c>
      <c r="L781" s="10">
        <v>136723.57999999999</v>
      </c>
      <c r="M781" s="8" t="s">
        <v>29</v>
      </c>
      <c r="N781" s="9">
        <v>122020.57</v>
      </c>
      <c r="O781" s="8" t="s">
        <v>30</v>
      </c>
      <c r="P781" t="str">
        <f>TEXT(Table1[[#This Row],[Transaction_Date]],"mmm")</f>
        <v>Sep</v>
      </c>
      <c r="Q781" s="11">
        <v>45903</v>
      </c>
      <c r="R781" s="8" t="s">
        <v>1864</v>
      </c>
      <c r="S781" s="8" t="s">
        <v>70</v>
      </c>
      <c r="T781" s="9">
        <v>2480.39</v>
      </c>
      <c r="U781" t="s">
        <v>475</v>
      </c>
      <c r="V781" s="8" t="s">
        <v>62</v>
      </c>
      <c r="W781"/>
      <c r="X781"/>
    </row>
    <row r="782" spans="1:24" hidden="1" x14ac:dyDescent="0.3">
      <c r="A782" t="s">
        <v>1865</v>
      </c>
      <c r="B782" t="s">
        <v>1276</v>
      </c>
      <c r="C782">
        <v>29</v>
      </c>
      <c r="D782" t="s">
        <v>49</v>
      </c>
      <c r="E782" t="s">
        <v>50</v>
      </c>
      <c r="F782" t="s">
        <v>49</v>
      </c>
      <c r="G782" t="s">
        <v>26</v>
      </c>
      <c r="H782" s="8" t="s">
        <v>51</v>
      </c>
      <c r="I782" s="9">
        <v>86060.53</v>
      </c>
      <c r="J782" s="9">
        <v>7038.05</v>
      </c>
      <c r="K782" s="8" t="s">
        <v>74</v>
      </c>
      <c r="L782" s="10">
        <v>0</v>
      </c>
      <c r="M782" s="8" t="s">
        <v>75</v>
      </c>
      <c r="N782" s="9">
        <v>0</v>
      </c>
      <c r="O782" s="8" t="s">
        <v>30</v>
      </c>
      <c r="P782" t="str">
        <f>TEXT(Table1[[#This Row],[Transaction_Date]],"mmm")</f>
        <v>Sep</v>
      </c>
      <c r="Q782" s="11">
        <v>45903</v>
      </c>
      <c r="R782" s="8" t="s">
        <v>1866</v>
      </c>
      <c r="S782" s="8" t="s">
        <v>32</v>
      </c>
      <c r="T782" s="9">
        <v>266.18</v>
      </c>
      <c r="U782" t="s">
        <v>106</v>
      </c>
      <c r="V782" s="8" t="s">
        <v>62</v>
      </c>
      <c r="W782"/>
      <c r="X782"/>
    </row>
    <row r="783" spans="1:24" hidden="1" x14ac:dyDescent="0.3">
      <c r="A783" t="s">
        <v>1867</v>
      </c>
      <c r="B783" t="s">
        <v>231</v>
      </c>
      <c r="C783">
        <v>47</v>
      </c>
      <c r="D783" t="s">
        <v>37</v>
      </c>
      <c r="E783" t="s">
        <v>38</v>
      </c>
      <c r="F783" t="s">
        <v>37</v>
      </c>
      <c r="G783" t="s">
        <v>80</v>
      </c>
      <c r="H783" s="8" t="s">
        <v>51</v>
      </c>
      <c r="I783" s="9">
        <v>56315.48</v>
      </c>
      <c r="J783" s="9">
        <v>73546.080000000002</v>
      </c>
      <c r="K783" s="8" t="s">
        <v>28</v>
      </c>
      <c r="L783" s="10">
        <v>144715.51</v>
      </c>
      <c r="M783" s="8" t="s">
        <v>29</v>
      </c>
      <c r="N783" s="9">
        <v>94482.66</v>
      </c>
      <c r="O783" s="8" t="s">
        <v>30</v>
      </c>
      <c r="P783" t="str">
        <f>TEXT(Table1[[#This Row],[Transaction_Date]],"mmm")</f>
        <v>Mar</v>
      </c>
      <c r="Q783" s="11">
        <v>45724</v>
      </c>
      <c r="R783" s="8" t="s">
        <v>1868</v>
      </c>
      <c r="S783" s="8" t="s">
        <v>70</v>
      </c>
      <c r="T783" s="9">
        <v>3576.34</v>
      </c>
      <c r="U783" t="s">
        <v>71</v>
      </c>
      <c r="V783" s="8" t="s">
        <v>62</v>
      </c>
      <c r="W783"/>
      <c r="X783"/>
    </row>
    <row r="784" spans="1:24" hidden="1" x14ac:dyDescent="0.3">
      <c r="A784" t="s">
        <v>1869</v>
      </c>
      <c r="B784" t="s">
        <v>1113</v>
      </c>
      <c r="C784">
        <v>61</v>
      </c>
      <c r="D784" t="s">
        <v>84</v>
      </c>
      <c r="E784" t="s">
        <v>85</v>
      </c>
      <c r="F784" t="s">
        <v>84</v>
      </c>
      <c r="G784" t="s">
        <v>51</v>
      </c>
      <c r="H784" s="8" t="s">
        <v>40</v>
      </c>
      <c r="I784" s="9">
        <v>53440.04</v>
      </c>
      <c r="J784" s="9">
        <v>7903.86</v>
      </c>
      <c r="K784" s="8" t="s">
        <v>74</v>
      </c>
      <c r="L784" s="10">
        <v>0</v>
      </c>
      <c r="M784" s="8" t="s">
        <v>75</v>
      </c>
      <c r="N784" s="9">
        <v>0</v>
      </c>
      <c r="O784" s="8" t="s">
        <v>30</v>
      </c>
      <c r="P784" t="str">
        <f>TEXT(Table1[[#This Row],[Transaction_Date]],"mmm")</f>
        <v>Feb</v>
      </c>
      <c r="Q784" s="11">
        <v>45702</v>
      </c>
      <c r="R784" s="8" t="s">
        <v>1870</v>
      </c>
      <c r="S784" s="8" t="s">
        <v>70</v>
      </c>
      <c r="T784" s="9">
        <v>9924.66</v>
      </c>
      <c r="U784" t="s">
        <v>77</v>
      </c>
      <c r="V784" s="8" t="s">
        <v>46</v>
      </c>
      <c r="W784"/>
      <c r="X784"/>
    </row>
    <row r="785" spans="1:24" x14ac:dyDescent="0.3">
      <c r="A785" t="s">
        <v>1871</v>
      </c>
      <c r="B785" t="s">
        <v>96</v>
      </c>
      <c r="C785">
        <v>42</v>
      </c>
      <c r="D785" t="s">
        <v>65</v>
      </c>
      <c r="E785" t="s">
        <v>66</v>
      </c>
      <c r="F785" t="s">
        <v>65</v>
      </c>
      <c r="G785" t="s">
        <v>39</v>
      </c>
      <c r="H785" s="8" t="s">
        <v>40</v>
      </c>
      <c r="I785" s="9">
        <v>59949.15</v>
      </c>
      <c r="J785" s="9">
        <v>16188.96</v>
      </c>
      <c r="K785" s="8" t="s">
        <v>74</v>
      </c>
      <c r="L785" s="10">
        <v>0</v>
      </c>
      <c r="M785" s="8" t="s">
        <v>75</v>
      </c>
      <c r="N785" s="9">
        <v>0</v>
      </c>
      <c r="O785" s="8" t="s">
        <v>30</v>
      </c>
      <c r="P785" t="str">
        <f>TEXT(Table1[[#This Row],[Transaction_Date]],"mmm")</f>
        <v>Apr</v>
      </c>
      <c r="Q785" s="11">
        <v>45770</v>
      </c>
      <c r="R785" s="8" t="s">
        <v>1872</v>
      </c>
      <c r="S785" s="8" t="s">
        <v>70</v>
      </c>
      <c r="T785" s="9">
        <v>4108.34</v>
      </c>
      <c r="U785" t="s">
        <v>45</v>
      </c>
      <c r="V785" s="8" t="s">
        <v>62</v>
      </c>
      <c r="W785"/>
      <c r="X785"/>
    </row>
    <row r="786" spans="1:24" hidden="1" x14ac:dyDescent="0.3">
      <c r="A786" t="s">
        <v>1873</v>
      </c>
      <c r="B786" t="s">
        <v>262</v>
      </c>
      <c r="C786">
        <v>24</v>
      </c>
      <c r="D786" t="s">
        <v>57</v>
      </c>
      <c r="E786" t="s">
        <v>58</v>
      </c>
      <c r="F786" t="s">
        <v>57</v>
      </c>
      <c r="G786" t="s">
        <v>80</v>
      </c>
      <c r="H786" s="8" t="s">
        <v>40</v>
      </c>
      <c r="I786" s="9">
        <v>53499.54</v>
      </c>
      <c r="J786" s="9">
        <v>23876.87</v>
      </c>
      <c r="K786" s="8" t="s">
        <v>68</v>
      </c>
      <c r="L786" s="10">
        <v>25000</v>
      </c>
      <c r="M786" s="8" t="s">
        <v>42</v>
      </c>
      <c r="N786" s="9">
        <v>0</v>
      </c>
      <c r="O786" s="8" t="s">
        <v>30</v>
      </c>
      <c r="P786" t="str">
        <f>TEXT(Table1[[#This Row],[Transaction_Date]],"mmm")</f>
        <v>Nov</v>
      </c>
      <c r="Q786" s="11">
        <v>45973</v>
      </c>
      <c r="R786" s="8" t="s">
        <v>1874</v>
      </c>
      <c r="S786" s="8" t="s">
        <v>54</v>
      </c>
      <c r="T786" s="9">
        <v>761.53</v>
      </c>
      <c r="U786" t="s">
        <v>45</v>
      </c>
      <c r="V786" s="8" t="s">
        <v>62</v>
      </c>
      <c r="W786"/>
      <c r="X786"/>
    </row>
    <row r="787" spans="1:24" x14ac:dyDescent="0.3">
      <c r="A787" t="s">
        <v>1875</v>
      </c>
      <c r="B787" t="s">
        <v>83</v>
      </c>
      <c r="C787">
        <v>42</v>
      </c>
      <c r="D787" t="s">
        <v>37</v>
      </c>
      <c r="E787" t="s">
        <v>38</v>
      </c>
      <c r="F787" t="s">
        <v>37</v>
      </c>
      <c r="G787" t="s">
        <v>39</v>
      </c>
      <c r="H787" s="8" t="s">
        <v>40</v>
      </c>
      <c r="I787" s="9">
        <v>59729.62</v>
      </c>
      <c r="J787" s="9">
        <v>31318.91</v>
      </c>
      <c r="K787" s="8" t="s">
        <v>74</v>
      </c>
      <c r="L787" s="10">
        <v>0</v>
      </c>
      <c r="M787" s="8" t="s">
        <v>75</v>
      </c>
      <c r="N787" s="9">
        <v>0</v>
      </c>
      <c r="O787" s="8" t="s">
        <v>30</v>
      </c>
      <c r="P787" t="str">
        <f>TEXT(Table1[[#This Row],[Transaction_Date]],"mmm")</f>
        <v>Jan</v>
      </c>
      <c r="Q787" s="11">
        <v>45674</v>
      </c>
      <c r="R787" s="8" t="s">
        <v>1876</v>
      </c>
      <c r="S787" s="8" t="s">
        <v>32</v>
      </c>
      <c r="T787" s="9">
        <v>2762.22</v>
      </c>
      <c r="U787" t="s">
        <v>61</v>
      </c>
      <c r="V787" s="8" t="s">
        <v>34</v>
      </c>
      <c r="W787"/>
      <c r="X787"/>
    </row>
    <row r="788" spans="1:24" hidden="1" x14ac:dyDescent="0.3">
      <c r="A788" t="s">
        <v>1877</v>
      </c>
      <c r="B788" t="s">
        <v>722</v>
      </c>
      <c r="C788">
        <v>30</v>
      </c>
      <c r="D788" t="s">
        <v>475</v>
      </c>
      <c r="E788" t="s">
        <v>38</v>
      </c>
      <c r="F788" t="s">
        <v>37</v>
      </c>
      <c r="G788" t="s">
        <v>26</v>
      </c>
      <c r="H788" s="8" t="s">
        <v>40</v>
      </c>
      <c r="I788" s="9">
        <v>69893.87</v>
      </c>
      <c r="J788" s="9">
        <v>59798.86</v>
      </c>
      <c r="K788" s="8" t="s">
        <v>74</v>
      </c>
      <c r="L788" s="10">
        <v>0</v>
      </c>
      <c r="M788" s="8" t="s">
        <v>75</v>
      </c>
      <c r="N788" s="9">
        <v>0</v>
      </c>
      <c r="O788" s="8" t="s">
        <v>30</v>
      </c>
      <c r="P788" t="str">
        <f>TEXT(Table1[[#This Row],[Transaction_Date]],"mmm")</f>
        <v>Apr</v>
      </c>
      <c r="Q788" s="11">
        <v>45760</v>
      </c>
      <c r="R788" s="8" t="s">
        <v>1878</v>
      </c>
      <c r="S788" s="8" t="s">
        <v>44</v>
      </c>
      <c r="T788" s="9">
        <v>5589.39</v>
      </c>
      <c r="U788" t="s">
        <v>71</v>
      </c>
      <c r="V788" s="8" t="s">
        <v>62</v>
      </c>
      <c r="W788"/>
      <c r="X788"/>
    </row>
    <row r="789" spans="1:24" x14ac:dyDescent="0.3">
      <c r="A789" t="s">
        <v>1879</v>
      </c>
      <c r="B789" t="s">
        <v>221</v>
      </c>
      <c r="C789">
        <v>18</v>
      </c>
      <c r="D789" t="s">
        <v>92</v>
      </c>
      <c r="E789" t="s">
        <v>93</v>
      </c>
      <c r="F789" t="s">
        <v>92</v>
      </c>
      <c r="G789" t="s">
        <v>39</v>
      </c>
      <c r="H789" s="8" t="s">
        <v>67</v>
      </c>
      <c r="I789" s="9">
        <v>58135.93</v>
      </c>
      <c r="J789" s="9">
        <v>18169.71</v>
      </c>
      <c r="K789" s="8" t="s">
        <v>28</v>
      </c>
      <c r="L789" s="10">
        <v>93320.14</v>
      </c>
      <c r="M789" s="8" t="s">
        <v>29</v>
      </c>
      <c r="N789" s="9">
        <v>30395.91</v>
      </c>
      <c r="O789" s="8" t="s">
        <v>30</v>
      </c>
      <c r="P789" t="str">
        <f>TEXT(Table1[[#This Row],[Transaction_Date]],"mmm")</f>
        <v>Apr</v>
      </c>
      <c r="Q789" s="11">
        <v>45752</v>
      </c>
      <c r="R789" s="8" t="s">
        <v>1880</v>
      </c>
      <c r="S789" s="8" t="s">
        <v>70</v>
      </c>
      <c r="T789" s="9">
        <v>9525.3799999999992</v>
      </c>
      <c r="U789" t="s">
        <v>106</v>
      </c>
      <c r="V789" s="8" t="s">
        <v>62</v>
      </c>
      <c r="W789"/>
      <c r="X789"/>
    </row>
    <row r="790" spans="1:24" hidden="1" x14ac:dyDescent="0.3">
      <c r="A790" t="s">
        <v>1881</v>
      </c>
      <c r="B790" t="s">
        <v>592</v>
      </c>
      <c r="C790">
        <v>43</v>
      </c>
      <c r="D790" t="s">
        <v>92</v>
      </c>
      <c r="E790" t="s">
        <v>93</v>
      </c>
      <c r="F790" t="s">
        <v>92</v>
      </c>
      <c r="G790" t="s">
        <v>26</v>
      </c>
      <c r="H790" s="8" t="s">
        <v>67</v>
      </c>
      <c r="I790" s="9">
        <v>13253.93</v>
      </c>
      <c r="J790" s="9">
        <v>62432.4</v>
      </c>
      <c r="K790" s="8" t="s">
        <v>74</v>
      </c>
      <c r="L790" s="10">
        <v>0</v>
      </c>
      <c r="M790" s="8" t="s">
        <v>75</v>
      </c>
      <c r="N790" s="9">
        <v>0</v>
      </c>
      <c r="O790" s="8" t="s">
        <v>30</v>
      </c>
      <c r="P790" t="str">
        <f>TEXT(Table1[[#This Row],[Transaction_Date]],"mmm")</f>
        <v>Jun</v>
      </c>
      <c r="Q790" s="11">
        <v>45824</v>
      </c>
      <c r="R790" s="8" t="s">
        <v>1882</v>
      </c>
      <c r="S790" s="8" t="s">
        <v>54</v>
      </c>
      <c r="T790" s="9">
        <v>1045.18</v>
      </c>
      <c r="U790" t="s">
        <v>77</v>
      </c>
      <c r="V790" s="8" t="s">
        <v>34</v>
      </c>
      <c r="W790"/>
      <c r="X790"/>
    </row>
    <row r="791" spans="1:24" x14ac:dyDescent="0.3">
      <c r="A791" t="s">
        <v>1883</v>
      </c>
      <c r="B791" t="s">
        <v>478</v>
      </c>
      <c r="C791">
        <v>18</v>
      </c>
      <c r="D791" t="s">
        <v>37</v>
      </c>
      <c r="E791" t="s">
        <v>38</v>
      </c>
      <c r="F791" t="s">
        <v>37</v>
      </c>
      <c r="G791" t="s">
        <v>39</v>
      </c>
      <c r="H791" s="8" t="s">
        <v>67</v>
      </c>
      <c r="I791" s="9">
        <v>21195.7</v>
      </c>
      <c r="J791" s="9">
        <v>7194.86</v>
      </c>
      <c r="K791" s="8" t="s">
        <v>74</v>
      </c>
      <c r="L791" s="10">
        <v>0</v>
      </c>
      <c r="M791" s="8" t="s">
        <v>75</v>
      </c>
      <c r="N791" s="9">
        <v>0</v>
      </c>
      <c r="O791" s="8" t="s">
        <v>30</v>
      </c>
      <c r="P791" t="str">
        <f>TEXT(Table1[[#This Row],[Transaction_Date]],"mmm")</f>
        <v>May</v>
      </c>
      <c r="Q791" s="11">
        <v>45804</v>
      </c>
      <c r="R791" s="8" t="s">
        <v>1884</v>
      </c>
      <c r="S791" s="8" t="s">
        <v>32</v>
      </c>
      <c r="T791" s="9">
        <v>14003.47</v>
      </c>
      <c r="U791" t="s">
        <v>45</v>
      </c>
      <c r="V791" s="8" t="s">
        <v>34</v>
      </c>
      <c r="W791"/>
      <c r="X791"/>
    </row>
    <row r="792" spans="1:24" x14ac:dyDescent="0.3">
      <c r="A792" t="s">
        <v>1885</v>
      </c>
      <c r="B792" t="s">
        <v>1646</v>
      </c>
      <c r="C792">
        <v>52</v>
      </c>
      <c r="D792" t="s">
        <v>475</v>
      </c>
      <c r="E792" t="s">
        <v>50</v>
      </c>
      <c r="F792" t="s">
        <v>49</v>
      </c>
      <c r="G792" t="s">
        <v>39</v>
      </c>
      <c r="H792" s="8" t="s">
        <v>67</v>
      </c>
      <c r="I792" s="9">
        <v>61801.85</v>
      </c>
      <c r="J792" s="9">
        <v>7395.1</v>
      </c>
      <c r="K792" s="8" t="s">
        <v>68</v>
      </c>
      <c r="L792" s="10">
        <v>32289.26</v>
      </c>
      <c r="M792" s="8" t="s">
        <v>29</v>
      </c>
      <c r="N792" s="9">
        <v>26319.47</v>
      </c>
      <c r="O792" s="8" t="s">
        <v>30</v>
      </c>
      <c r="P792" t="str">
        <f>TEXT(Table1[[#This Row],[Transaction_Date]],"mmm")</f>
        <v>Oct</v>
      </c>
      <c r="Q792" s="11">
        <v>45959</v>
      </c>
      <c r="R792" s="8" t="s">
        <v>1886</v>
      </c>
      <c r="S792" s="8" t="s">
        <v>44</v>
      </c>
      <c r="T792" s="9">
        <v>941.73</v>
      </c>
      <c r="U792" t="s">
        <v>61</v>
      </c>
      <c r="V792" s="8" t="s">
        <v>62</v>
      </c>
      <c r="W792"/>
      <c r="X792"/>
    </row>
    <row r="793" spans="1:24" hidden="1" x14ac:dyDescent="0.3">
      <c r="A793" t="s">
        <v>1887</v>
      </c>
      <c r="B793" t="s">
        <v>368</v>
      </c>
      <c r="C793">
        <v>46</v>
      </c>
      <c r="D793" t="s">
        <v>84</v>
      </c>
      <c r="E793" t="s">
        <v>85</v>
      </c>
      <c r="F793" t="s">
        <v>84</v>
      </c>
      <c r="G793" t="s">
        <v>51</v>
      </c>
      <c r="H793" s="8" t="s">
        <v>40</v>
      </c>
      <c r="I793" s="9">
        <v>59239.09</v>
      </c>
      <c r="J793" s="9">
        <v>15207.02</v>
      </c>
      <c r="K793" s="8" t="s">
        <v>74</v>
      </c>
      <c r="L793" s="10">
        <v>0</v>
      </c>
      <c r="M793" s="8" t="s">
        <v>75</v>
      </c>
      <c r="N793" s="9">
        <v>0</v>
      </c>
      <c r="O793" s="8" t="s">
        <v>30</v>
      </c>
      <c r="P793" t="str">
        <f>TEXT(Table1[[#This Row],[Transaction_Date]],"mmm")</f>
        <v>Nov</v>
      </c>
      <c r="Q793" s="11">
        <v>45977</v>
      </c>
      <c r="R793" s="8" t="s">
        <v>1888</v>
      </c>
      <c r="S793" s="8" t="s">
        <v>32</v>
      </c>
      <c r="T793" s="9">
        <v>3287.32</v>
      </c>
      <c r="U793" t="s">
        <v>106</v>
      </c>
      <c r="V793" s="8" t="s">
        <v>62</v>
      </c>
      <c r="W793"/>
      <c r="X793"/>
    </row>
    <row r="794" spans="1:24" hidden="1" x14ac:dyDescent="0.3">
      <c r="A794" t="s">
        <v>1889</v>
      </c>
      <c r="B794" t="s">
        <v>432</v>
      </c>
      <c r="C794">
        <v>23</v>
      </c>
      <c r="D794" t="s">
        <v>84</v>
      </c>
      <c r="E794" t="s">
        <v>85</v>
      </c>
      <c r="F794" t="s">
        <v>84</v>
      </c>
      <c r="G794" t="s">
        <v>80</v>
      </c>
      <c r="H794" s="8" t="s">
        <v>40</v>
      </c>
      <c r="I794" s="9">
        <v>55054.25</v>
      </c>
      <c r="J794" s="9">
        <v>78340.539999999994</v>
      </c>
      <c r="K794" s="8" t="s">
        <v>68</v>
      </c>
      <c r="L794" s="10">
        <v>82384.78</v>
      </c>
      <c r="M794" s="8" t="s">
        <v>29</v>
      </c>
      <c r="N794" s="9">
        <v>37559.35</v>
      </c>
      <c r="O794" s="8" t="s">
        <v>30</v>
      </c>
      <c r="P794" t="str">
        <f>TEXT(Table1[[#This Row],[Transaction_Date]],"mmm")</f>
        <v>Feb</v>
      </c>
      <c r="Q794" s="11">
        <v>45716</v>
      </c>
      <c r="R794" s="8" t="s">
        <v>1890</v>
      </c>
      <c r="S794" s="8" t="s">
        <v>54</v>
      </c>
      <c r="T794" s="9">
        <v>1643.28</v>
      </c>
      <c r="U794" t="s">
        <v>71</v>
      </c>
      <c r="V794" s="8" t="s">
        <v>46</v>
      </c>
      <c r="W794"/>
      <c r="X794"/>
    </row>
    <row r="795" spans="1:24" x14ac:dyDescent="0.3">
      <c r="A795" t="s">
        <v>1891</v>
      </c>
      <c r="B795" t="s">
        <v>823</v>
      </c>
      <c r="C795">
        <v>49</v>
      </c>
      <c r="D795" t="s">
        <v>24</v>
      </c>
      <c r="E795" t="s">
        <v>25</v>
      </c>
      <c r="F795" t="s">
        <v>24</v>
      </c>
      <c r="G795" t="s">
        <v>39</v>
      </c>
      <c r="H795" s="8" t="s">
        <v>40</v>
      </c>
      <c r="I795" s="9">
        <v>46523.77</v>
      </c>
      <c r="J795" s="9">
        <v>33687.269999999997</v>
      </c>
      <c r="K795" s="8" t="s">
        <v>28</v>
      </c>
      <c r="L795" s="10">
        <v>25000</v>
      </c>
      <c r="M795" s="8" t="s">
        <v>42</v>
      </c>
      <c r="N795" s="9">
        <v>0</v>
      </c>
      <c r="O795" s="8" t="s">
        <v>30</v>
      </c>
      <c r="P795" t="str">
        <f>TEXT(Table1[[#This Row],[Transaction_Date]],"mmm")</f>
        <v>Aug</v>
      </c>
      <c r="Q795" s="11">
        <v>45875</v>
      </c>
      <c r="R795" s="8" t="s">
        <v>1892</v>
      </c>
      <c r="S795" s="8" t="s">
        <v>32</v>
      </c>
      <c r="T795" s="9">
        <v>6784.36</v>
      </c>
      <c r="U795" t="s">
        <v>71</v>
      </c>
      <c r="V795" s="8" t="s">
        <v>62</v>
      </c>
      <c r="W795"/>
      <c r="X795"/>
    </row>
    <row r="796" spans="1:24" x14ac:dyDescent="0.3">
      <c r="A796" t="s">
        <v>1893</v>
      </c>
      <c r="B796" t="s">
        <v>455</v>
      </c>
      <c r="C796">
        <v>20</v>
      </c>
      <c r="D796" t="s">
        <v>65</v>
      </c>
      <c r="E796" t="s">
        <v>66</v>
      </c>
      <c r="F796" t="s">
        <v>65</v>
      </c>
      <c r="G796" t="s">
        <v>39</v>
      </c>
      <c r="H796" s="8" t="s">
        <v>27</v>
      </c>
      <c r="I796" s="9">
        <v>68119.39</v>
      </c>
      <c r="J796" s="9">
        <v>26154.84</v>
      </c>
      <c r="K796" s="8" t="s">
        <v>74</v>
      </c>
      <c r="L796" s="10">
        <v>0</v>
      </c>
      <c r="M796" s="8" t="s">
        <v>75</v>
      </c>
      <c r="N796" s="9">
        <v>0</v>
      </c>
      <c r="O796" s="8" t="s">
        <v>30</v>
      </c>
      <c r="P796" t="str">
        <f>TEXT(Table1[[#This Row],[Transaction_Date]],"mmm")</f>
        <v>Dec</v>
      </c>
      <c r="Q796" s="11">
        <v>45993</v>
      </c>
      <c r="R796" s="8" t="s">
        <v>1894</v>
      </c>
      <c r="S796" s="8" t="s">
        <v>32</v>
      </c>
      <c r="T796" s="9">
        <v>5429.71</v>
      </c>
      <c r="U796" t="s">
        <v>475</v>
      </c>
      <c r="V796" s="8" t="s">
        <v>62</v>
      </c>
      <c r="W796"/>
      <c r="X796"/>
    </row>
    <row r="797" spans="1:24" x14ac:dyDescent="0.3">
      <c r="A797" t="s">
        <v>1895</v>
      </c>
      <c r="B797" t="s">
        <v>527</v>
      </c>
      <c r="C797">
        <v>55</v>
      </c>
      <c r="D797" t="s">
        <v>92</v>
      </c>
      <c r="E797" t="s">
        <v>93</v>
      </c>
      <c r="F797" t="s">
        <v>92</v>
      </c>
      <c r="G797" t="s">
        <v>39</v>
      </c>
      <c r="H797" s="8" t="s">
        <v>40</v>
      </c>
      <c r="I797" s="9">
        <v>38436.080000000002</v>
      </c>
      <c r="J797" s="9">
        <v>41077.64</v>
      </c>
      <c r="K797" s="8" t="s">
        <v>28</v>
      </c>
      <c r="L797" s="10">
        <v>91542.05</v>
      </c>
      <c r="M797" s="8" t="s">
        <v>29</v>
      </c>
      <c r="N797" s="9">
        <v>65183.24</v>
      </c>
      <c r="O797" s="8" t="s">
        <v>228</v>
      </c>
      <c r="P797" t="str">
        <f>TEXT(Table1[[#This Row],[Transaction_Date]],"mmm")</f>
        <v>Mar</v>
      </c>
      <c r="Q797" s="11">
        <v>45731</v>
      </c>
      <c r="R797" s="8" t="s">
        <v>1896</v>
      </c>
      <c r="S797" s="8" t="s">
        <v>32</v>
      </c>
      <c r="T797" s="9">
        <v>1965</v>
      </c>
      <c r="U797" t="s">
        <v>77</v>
      </c>
      <c r="V797" s="8" t="s">
        <v>46</v>
      </c>
      <c r="W797"/>
      <c r="X797"/>
    </row>
    <row r="798" spans="1:24" hidden="1" x14ac:dyDescent="0.3">
      <c r="A798" t="s">
        <v>1897</v>
      </c>
      <c r="B798" t="s">
        <v>542</v>
      </c>
      <c r="C798">
        <v>19</v>
      </c>
      <c r="D798" t="s">
        <v>84</v>
      </c>
      <c r="E798" t="s">
        <v>85</v>
      </c>
      <c r="F798" t="s">
        <v>84</v>
      </c>
      <c r="G798" t="s">
        <v>26</v>
      </c>
      <c r="H798" s="8" t="s">
        <v>27</v>
      </c>
      <c r="I798" s="9">
        <v>25124.799999999999</v>
      </c>
      <c r="J798" s="9">
        <v>28657.06</v>
      </c>
      <c r="K798" s="8" t="s">
        <v>68</v>
      </c>
      <c r="L798" s="10">
        <v>68395.56</v>
      </c>
      <c r="M798" s="8" t="s">
        <v>29</v>
      </c>
      <c r="N798" s="9">
        <v>43254.92</v>
      </c>
      <c r="O798" s="8" t="s">
        <v>30</v>
      </c>
      <c r="P798" t="str">
        <f>TEXT(Table1[[#This Row],[Transaction_Date]],"mmm")</f>
        <v>Feb</v>
      </c>
      <c r="Q798" s="11">
        <v>45696</v>
      </c>
      <c r="R798" s="8" t="s">
        <v>1898</v>
      </c>
      <c r="S798" s="8" t="s">
        <v>32</v>
      </c>
      <c r="T798" s="9">
        <v>4750.51</v>
      </c>
      <c r="U798" t="s">
        <v>33</v>
      </c>
      <c r="V798" s="8" t="s">
        <v>62</v>
      </c>
      <c r="W798"/>
      <c r="X798"/>
    </row>
    <row r="799" spans="1:24" x14ac:dyDescent="0.3">
      <c r="A799" t="s">
        <v>1899</v>
      </c>
      <c r="B799" t="s">
        <v>472</v>
      </c>
      <c r="C799">
        <v>42</v>
      </c>
      <c r="D799" t="s">
        <v>97</v>
      </c>
      <c r="E799" t="s">
        <v>98</v>
      </c>
      <c r="F799" t="s">
        <v>97</v>
      </c>
      <c r="G799" t="s">
        <v>39</v>
      </c>
      <c r="H799" s="8" t="s">
        <v>40</v>
      </c>
      <c r="I799" s="9">
        <v>96350.82</v>
      </c>
      <c r="J799" s="9">
        <v>35136.75</v>
      </c>
      <c r="K799" s="8" t="s">
        <v>74</v>
      </c>
      <c r="L799" s="10">
        <v>0</v>
      </c>
      <c r="M799" s="8" t="s">
        <v>75</v>
      </c>
      <c r="N799" s="9">
        <v>0</v>
      </c>
      <c r="O799" s="8" t="s">
        <v>30</v>
      </c>
      <c r="P799" t="str">
        <f>TEXT(Table1[[#This Row],[Transaction_Date]],"mmm")</f>
        <v>Dec</v>
      </c>
      <c r="Q799" s="11">
        <v>46006</v>
      </c>
      <c r="R799" s="8" t="s">
        <v>1900</v>
      </c>
      <c r="S799" s="8" t="s">
        <v>44</v>
      </c>
      <c r="T799" s="9">
        <v>2390.96</v>
      </c>
      <c r="U799" t="s">
        <v>33</v>
      </c>
      <c r="V799" s="8" t="s">
        <v>46</v>
      </c>
      <c r="W799"/>
      <c r="X799"/>
    </row>
    <row r="800" spans="1:24" hidden="1" x14ac:dyDescent="0.3">
      <c r="A800" t="s">
        <v>1901</v>
      </c>
      <c r="B800" t="s">
        <v>530</v>
      </c>
      <c r="C800">
        <v>23</v>
      </c>
      <c r="D800" t="s">
        <v>57</v>
      </c>
      <c r="E800" t="s">
        <v>58</v>
      </c>
      <c r="F800" t="s">
        <v>57</v>
      </c>
      <c r="G800" t="s">
        <v>26</v>
      </c>
      <c r="H800" s="8" t="s">
        <v>51</v>
      </c>
      <c r="I800" s="9">
        <v>76483.14</v>
      </c>
      <c r="J800" s="9">
        <v>27608.45</v>
      </c>
      <c r="K800" s="8" t="s">
        <v>41</v>
      </c>
      <c r="L800" s="10">
        <v>25000</v>
      </c>
      <c r="M800" s="8" t="s">
        <v>29</v>
      </c>
      <c r="N800" s="9">
        <v>9583.48</v>
      </c>
      <c r="O800" s="8" t="s">
        <v>30</v>
      </c>
      <c r="P800" t="str">
        <f>TEXT(Table1[[#This Row],[Transaction_Date]],"mmm")</f>
        <v>Oct</v>
      </c>
      <c r="Q800" s="11">
        <v>45936</v>
      </c>
      <c r="R800" s="8" t="s">
        <v>1902</v>
      </c>
      <c r="S800" s="8" t="s">
        <v>54</v>
      </c>
      <c r="T800" s="9">
        <v>3400.03</v>
      </c>
      <c r="U800" t="s">
        <v>33</v>
      </c>
      <c r="V800" s="8" t="s">
        <v>62</v>
      </c>
      <c r="W800"/>
      <c r="X800"/>
    </row>
    <row r="801" spans="1:24" x14ac:dyDescent="0.3">
      <c r="A801" t="s">
        <v>1903</v>
      </c>
      <c r="B801" t="s">
        <v>1316</v>
      </c>
      <c r="C801">
        <v>39</v>
      </c>
      <c r="D801" t="s">
        <v>92</v>
      </c>
      <c r="E801" t="s">
        <v>93</v>
      </c>
      <c r="F801" t="s">
        <v>92</v>
      </c>
      <c r="G801" t="s">
        <v>39</v>
      </c>
      <c r="H801" s="8" t="s">
        <v>27</v>
      </c>
      <c r="I801" s="9">
        <v>109784.92</v>
      </c>
      <c r="J801" s="9">
        <v>24378.16</v>
      </c>
      <c r="K801" s="8" t="s">
        <v>74</v>
      </c>
      <c r="L801" s="10">
        <v>0</v>
      </c>
      <c r="M801" s="8" t="s">
        <v>75</v>
      </c>
      <c r="N801" s="9">
        <v>0</v>
      </c>
      <c r="O801" s="8" t="s">
        <v>30</v>
      </c>
      <c r="P801" t="str">
        <f>TEXT(Table1[[#This Row],[Transaction_Date]],"mmm")</f>
        <v>Jun</v>
      </c>
      <c r="Q801" s="11">
        <v>45835</v>
      </c>
      <c r="R801" s="8" t="s">
        <v>1904</v>
      </c>
      <c r="S801" s="8" t="s">
        <v>44</v>
      </c>
      <c r="T801" s="9">
        <v>821.89</v>
      </c>
      <c r="U801" t="s">
        <v>106</v>
      </c>
      <c r="V801" s="8" t="s">
        <v>62</v>
      </c>
      <c r="W801"/>
      <c r="X801"/>
    </row>
    <row r="802" spans="1:24" x14ac:dyDescent="0.3">
      <c r="A802" t="s">
        <v>1905</v>
      </c>
      <c r="B802" t="s">
        <v>117</v>
      </c>
      <c r="C802">
        <v>18</v>
      </c>
      <c r="D802" t="s">
        <v>65</v>
      </c>
      <c r="E802" t="s">
        <v>66</v>
      </c>
      <c r="F802" t="s">
        <v>65</v>
      </c>
      <c r="G802" t="s">
        <v>39</v>
      </c>
      <c r="H802" s="8" t="s">
        <v>40</v>
      </c>
      <c r="I802" s="9">
        <v>81562.05</v>
      </c>
      <c r="J802" s="9">
        <v>10597.75</v>
      </c>
      <c r="K802" s="8" t="s">
        <v>74</v>
      </c>
      <c r="L802" s="10">
        <v>0</v>
      </c>
      <c r="M802" s="8" t="s">
        <v>75</v>
      </c>
      <c r="N802" s="9">
        <v>0</v>
      </c>
      <c r="O802" s="8" t="s">
        <v>30</v>
      </c>
      <c r="P802" t="str">
        <f>TEXT(Table1[[#This Row],[Transaction_Date]],"mmm")</f>
        <v>Jul</v>
      </c>
      <c r="Q802" s="11">
        <v>45855</v>
      </c>
      <c r="R802" s="8" t="s">
        <v>1906</v>
      </c>
      <c r="S802" s="8" t="s">
        <v>70</v>
      </c>
      <c r="T802" s="9">
        <v>5516.2</v>
      </c>
      <c r="U802" t="s">
        <v>71</v>
      </c>
      <c r="V802" s="8" t="s">
        <v>62</v>
      </c>
      <c r="W802"/>
      <c r="X802"/>
    </row>
    <row r="803" spans="1:24" x14ac:dyDescent="0.3">
      <c r="A803" t="s">
        <v>1907</v>
      </c>
      <c r="B803" t="s">
        <v>1029</v>
      </c>
      <c r="C803">
        <v>56</v>
      </c>
      <c r="D803" t="s">
        <v>92</v>
      </c>
      <c r="E803" t="s">
        <v>93</v>
      </c>
      <c r="F803" t="s">
        <v>92</v>
      </c>
      <c r="G803" t="s">
        <v>39</v>
      </c>
      <c r="H803" s="8" t="s">
        <v>27</v>
      </c>
      <c r="I803" s="9">
        <v>12000</v>
      </c>
      <c r="J803" s="9">
        <v>46245.78</v>
      </c>
      <c r="K803" s="8" t="s">
        <v>74</v>
      </c>
      <c r="L803" s="10">
        <v>0</v>
      </c>
      <c r="M803" s="8" t="s">
        <v>75</v>
      </c>
      <c r="N803" s="9">
        <v>0</v>
      </c>
      <c r="O803" s="8" t="s">
        <v>30</v>
      </c>
      <c r="P803" t="str">
        <f>TEXT(Table1[[#This Row],[Transaction_Date]],"mmm")</f>
        <v>May</v>
      </c>
      <c r="Q803" s="11">
        <v>45780</v>
      </c>
      <c r="R803" s="8" t="s">
        <v>1908</v>
      </c>
      <c r="S803" s="8" t="s">
        <v>44</v>
      </c>
      <c r="T803" s="9">
        <v>7588.23</v>
      </c>
      <c r="U803" t="s">
        <v>106</v>
      </c>
      <c r="V803" s="8" t="s">
        <v>62</v>
      </c>
      <c r="W803"/>
      <c r="X803"/>
    </row>
    <row r="804" spans="1:24" x14ac:dyDescent="0.3">
      <c r="A804" t="s">
        <v>1909</v>
      </c>
      <c r="B804" t="s">
        <v>123</v>
      </c>
      <c r="C804">
        <v>28</v>
      </c>
      <c r="D804" t="s">
        <v>84</v>
      </c>
      <c r="E804" t="s">
        <v>85</v>
      </c>
      <c r="F804" t="s">
        <v>84</v>
      </c>
      <c r="G804" t="s">
        <v>39</v>
      </c>
      <c r="H804" s="8" t="s">
        <v>40</v>
      </c>
      <c r="I804" s="9">
        <v>59100.79</v>
      </c>
      <c r="J804" s="9">
        <v>42130.41</v>
      </c>
      <c r="K804" s="8" t="s">
        <v>41</v>
      </c>
      <c r="L804" s="10">
        <v>25000</v>
      </c>
      <c r="M804" s="8" t="s">
        <v>29</v>
      </c>
      <c r="N804" s="9">
        <v>6761.82</v>
      </c>
      <c r="O804" s="8" t="s">
        <v>30</v>
      </c>
      <c r="P804" t="str">
        <f>TEXT(Table1[[#This Row],[Transaction_Date]],"mmm")</f>
        <v>Oct</v>
      </c>
      <c r="Q804" s="11">
        <v>45933</v>
      </c>
      <c r="R804" s="8" t="s">
        <v>1910</v>
      </c>
      <c r="S804" s="8" t="s">
        <v>32</v>
      </c>
      <c r="T804" s="9">
        <v>3637.56</v>
      </c>
      <c r="U804" t="s">
        <v>45</v>
      </c>
      <c r="V804" s="8" t="s">
        <v>62</v>
      </c>
      <c r="W804"/>
      <c r="X804"/>
    </row>
    <row r="805" spans="1:24" x14ac:dyDescent="0.3">
      <c r="A805" t="s">
        <v>1911</v>
      </c>
      <c r="B805" t="s">
        <v>870</v>
      </c>
      <c r="C805">
        <v>62</v>
      </c>
      <c r="D805" t="s">
        <v>65</v>
      </c>
      <c r="E805" t="s">
        <v>66</v>
      </c>
      <c r="F805" t="s">
        <v>65</v>
      </c>
      <c r="G805" t="s">
        <v>39</v>
      </c>
      <c r="H805" s="8" t="s">
        <v>40</v>
      </c>
      <c r="I805" s="9">
        <v>54345.14</v>
      </c>
      <c r="J805" s="9">
        <v>26701.56</v>
      </c>
      <c r="K805" s="8" t="s">
        <v>74</v>
      </c>
      <c r="L805" s="10">
        <v>0</v>
      </c>
      <c r="M805" s="8" t="s">
        <v>75</v>
      </c>
      <c r="N805" s="9">
        <v>0</v>
      </c>
      <c r="O805" s="8" t="s">
        <v>30</v>
      </c>
      <c r="P805" t="str">
        <f>TEXT(Table1[[#This Row],[Transaction_Date]],"mmm")</f>
        <v>Jun</v>
      </c>
      <c r="Q805" s="11">
        <v>45823</v>
      </c>
      <c r="R805" s="8" t="s">
        <v>1912</v>
      </c>
      <c r="S805" s="8" t="s">
        <v>54</v>
      </c>
      <c r="T805" s="9">
        <v>2787.71</v>
      </c>
      <c r="U805" t="s">
        <v>45</v>
      </c>
      <c r="V805" s="8" t="s">
        <v>46</v>
      </c>
      <c r="W805"/>
      <c r="X805"/>
    </row>
    <row r="806" spans="1:24" hidden="1" x14ac:dyDescent="0.3">
      <c r="A806" t="s">
        <v>1913</v>
      </c>
      <c r="B806" t="s">
        <v>597</v>
      </c>
      <c r="C806">
        <v>47</v>
      </c>
      <c r="D806" t="s">
        <v>24</v>
      </c>
      <c r="E806" t="s">
        <v>25</v>
      </c>
      <c r="F806" t="s">
        <v>24</v>
      </c>
      <c r="G806" t="s">
        <v>51</v>
      </c>
      <c r="H806" s="8" t="s">
        <v>40</v>
      </c>
      <c r="I806" s="9">
        <v>60503.18</v>
      </c>
      <c r="J806" s="9">
        <v>23606.26</v>
      </c>
      <c r="K806" s="8" t="s">
        <v>28</v>
      </c>
      <c r="L806" s="10">
        <v>38731.89</v>
      </c>
      <c r="M806" s="8" t="s">
        <v>42</v>
      </c>
      <c r="N806" s="9">
        <v>0</v>
      </c>
      <c r="O806" s="8" t="s">
        <v>30</v>
      </c>
      <c r="P806" t="str">
        <f>TEXT(Table1[[#This Row],[Transaction_Date]],"mmm")</f>
        <v>Dec</v>
      </c>
      <c r="Q806" s="11">
        <v>45996</v>
      </c>
      <c r="R806" s="8" t="s">
        <v>1914</v>
      </c>
      <c r="S806" s="8" t="s">
        <v>32</v>
      </c>
      <c r="T806" s="9">
        <v>2389.91</v>
      </c>
      <c r="U806" t="s">
        <v>71</v>
      </c>
      <c r="V806" s="8" t="s">
        <v>34</v>
      </c>
      <c r="W806"/>
      <c r="X806"/>
    </row>
    <row r="807" spans="1:24" hidden="1" x14ac:dyDescent="0.3">
      <c r="A807" t="s">
        <v>1915</v>
      </c>
      <c r="B807" t="s">
        <v>243</v>
      </c>
      <c r="C807">
        <v>24</v>
      </c>
      <c r="D807" t="s">
        <v>65</v>
      </c>
      <c r="E807" t="s">
        <v>66</v>
      </c>
      <c r="F807" t="s">
        <v>65</v>
      </c>
      <c r="G807" t="s">
        <v>51</v>
      </c>
      <c r="H807" s="8" t="s">
        <v>40</v>
      </c>
      <c r="I807" s="9">
        <v>36359.089999999997</v>
      </c>
      <c r="J807" s="9">
        <v>13394.41</v>
      </c>
      <c r="K807" s="8" t="s">
        <v>59</v>
      </c>
      <c r="L807" s="10">
        <v>42691.48</v>
      </c>
      <c r="M807" s="8" t="s">
        <v>29</v>
      </c>
      <c r="N807" s="9">
        <v>29727.1</v>
      </c>
      <c r="O807" s="8" t="s">
        <v>30</v>
      </c>
      <c r="P807" t="str">
        <f>TEXT(Table1[[#This Row],[Transaction_Date]],"mmm")</f>
        <v>Dec</v>
      </c>
      <c r="Q807" s="11">
        <v>45992</v>
      </c>
      <c r="R807" s="8" t="s">
        <v>1916</v>
      </c>
      <c r="S807" s="8" t="s">
        <v>54</v>
      </c>
      <c r="T807" s="9">
        <v>5747.97</v>
      </c>
      <c r="U807" t="s">
        <v>61</v>
      </c>
      <c r="V807" s="8" t="s">
        <v>46</v>
      </c>
      <c r="W807"/>
      <c r="X807"/>
    </row>
    <row r="808" spans="1:24" hidden="1" x14ac:dyDescent="0.3">
      <c r="A808" t="s">
        <v>1917</v>
      </c>
      <c r="B808" t="s">
        <v>524</v>
      </c>
      <c r="C808">
        <v>47</v>
      </c>
      <c r="D808" t="s">
        <v>97</v>
      </c>
      <c r="E808" t="s">
        <v>98</v>
      </c>
      <c r="F808" t="s">
        <v>97</v>
      </c>
      <c r="G808" t="s">
        <v>80</v>
      </c>
      <c r="H808" s="8" t="s">
        <v>51</v>
      </c>
      <c r="I808" s="9">
        <v>89786.46</v>
      </c>
      <c r="J808" s="9">
        <v>15588.23</v>
      </c>
      <c r="K808" s="8" t="s">
        <v>59</v>
      </c>
      <c r="L808" s="10">
        <v>27977.46</v>
      </c>
      <c r="M808" s="8" t="s">
        <v>42</v>
      </c>
      <c r="N808" s="9">
        <v>0</v>
      </c>
      <c r="O808" s="8" t="s">
        <v>30</v>
      </c>
      <c r="P808" t="str">
        <f>TEXT(Table1[[#This Row],[Transaction_Date]],"mmm")</f>
        <v>Jan</v>
      </c>
      <c r="Q808" s="11">
        <v>45683</v>
      </c>
      <c r="R808" s="8" t="s">
        <v>1918</v>
      </c>
      <c r="S808" s="8" t="s">
        <v>70</v>
      </c>
      <c r="T808" s="9">
        <v>3186.78</v>
      </c>
      <c r="U808" t="s">
        <v>77</v>
      </c>
      <c r="V808" s="8" t="s">
        <v>46</v>
      </c>
      <c r="W808"/>
      <c r="X808"/>
    </row>
    <row r="809" spans="1:24" x14ac:dyDescent="0.3">
      <c r="A809" t="s">
        <v>1919</v>
      </c>
      <c r="B809" t="s">
        <v>88</v>
      </c>
      <c r="C809">
        <v>40</v>
      </c>
      <c r="D809" t="s">
        <v>65</v>
      </c>
      <c r="E809" t="s">
        <v>66</v>
      </c>
      <c r="F809" t="s">
        <v>65</v>
      </c>
      <c r="G809" t="s">
        <v>39</v>
      </c>
      <c r="H809" s="8" t="s">
        <v>27</v>
      </c>
      <c r="I809" s="9">
        <v>69376.2</v>
      </c>
      <c r="J809" s="9">
        <v>52804.18</v>
      </c>
      <c r="K809" s="8" t="s">
        <v>74</v>
      </c>
      <c r="L809" s="10">
        <v>0</v>
      </c>
      <c r="M809" s="8" t="s">
        <v>75</v>
      </c>
      <c r="N809" s="9">
        <v>0</v>
      </c>
      <c r="O809" s="8" t="s">
        <v>30</v>
      </c>
      <c r="P809" t="str">
        <f>TEXT(Table1[[#This Row],[Transaction_Date]],"mmm")</f>
        <v>Oct</v>
      </c>
      <c r="Q809" s="11">
        <v>45943</v>
      </c>
      <c r="R809" s="8" t="s">
        <v>1920</v>
      </c>
      <c r="S809" s="8" t="s">
        <v>70</v>
      </c>
      <c r="T809" s="9">
        <v>9075.07</v>
      </c>
      <c r="U809" t="s">
        <v>106</v>
      </c>
      <c r="V809" s="8" t="s">
        <v>34</v>
      </c>
      <c r="W809"/>
      <c r="X809"/>
    </row>
    <row r="810" spans="1:24" x14ac:dyDescent="0.3">
      <c r="A810" t="s">
        <v>1921</v>
      </c>
      <c r="B810" t="s">
        <v>96</v>
      </c>
      <c r="C810">
        <v>45</v>
      </c>
      <c r="D810" t="s">
        <v>97</v>
      </c>
      <c r="E810" t="s">
        <v>98</v>
      </c>
      <c r="F810" t="s">
        <v>97</v>
      </c>
      <c r="G810" t="s">
        <v>39</v>
      </c>
      <c r="H810" s="8" t="s">
        <v>40</v>
      </c>
      <c r="I810" s="9">
        <v>49150.94</v>
      </c>
      <c r="J810" s="9">
        <v>121506.14</v>
      </c>
      <c r="K810" s="8" t="s">
        <v>41</v>
      </c>
      <c r="L810" s="10">
        <v>56021.97</v>
      </c>
      <c r="M810" s="8" t="s">
        <v>29</v>
      </c>
      <c r="N810" s="9">
        <v>27500.28</v>
      </c>
      <c r="O810" s="8" t="s">
        <v>30</v>
      </c>
      <c r="P810" t="str">
        <f>TEXT(Table1[[#This Row],[Transaction_Date]],"mmm")</f>
        <v>Aug</v>
      </c>
      <c r="Q810" s="11">
        <v>45897</v>
      </c>
      <c r="R810" s="8" t="s">
        <v>1922</v>
      </c>
      <c r="S810" s="8" t="s">
        <v>32</v>
      </c>
      <c r="T810" s="9">
        <v>4152.99</v>
      </c>
      <c r="U810" t="s">
        <v>61</v>
      </c>
      <c r="V810" s="8" t="s">
        <v>34</v>
      </c>
      <c r="W810"/>
      <c r="X810"/>
    </row>
    <row r="811" spans="1:24" hidden="1" x14ac:dyDescent="0.3">
      <c r="A811" t="s">
        <v>1923</v>
      </c>
      <c r="B811" t="s">
        <v>1026</v>
      </c>
      <c r="C811">
        <v>44</v>
      </c>
      <c r="D811" t="s">
        <v>37</v>
      </c>
      <c r="E811" t="s">
        <v>38</v>
      </c>
      <c r="F811" t="s">
        <v>37</v>
      </c>
      <c r="G811" t="s">
        <v>51</v>
      </c>
      <c r="H811" s="8" t="s">
        <v>27</v>
      </c>
      <c r="I811" s="9">
        <v>49879.03</v>
      </c>
      <c r="J811" s="9">
        <v>3421.16</v>
      </c>
      <c r="K811" s="8" t="s">
        <v>68</v>
      </c>
      <c r="L811" s="10">
        <v>71088.34</v>
      </c>
      <c r="M811" s="8" t="s">
        <v>29</v>
      </c>
      <c r="N811" s="9">
        <v>28888.92</v>
      </c>
      <c r="O811" s="8" t="s">
        <v>30</v>
      </c>
      <c r="P811" t="str">
        <f>TEXT(Table1[[#This Row],[Transaction_Date]],"mmm")</f>
        <v>Mar</v>
      </c>
      <c r="Q811" s="11">
        <v>45737</v>
      </c>
      <c r="R811" s="8" t="s">
        <v>1924</v>
      </c>
      <c r="S811" s="8" t="s">
        <v>70</v>
      </c>
      <c r="T811" s="9">
        <v>1410.91</v>
      </c>
      <c r="U811" t="s">
        <v>45</v>
      </c>
      <c r="V811" s="8" t="s">
        <v>62</v>
      </c>
      <c r="W811"/>
      <c r="X811"/>
    </row>
    <row r="812" spans="1:24" x14ac:dyDescent="0.3">
      <c r="A812" t="s">
        <v>1925</v>
      </c>
      <c r="B812" t="s">
        <v>568</v>
      </c>
      <c r="C812">
        <v>18</v>
      </c>
      <c r="D812" t="s">
        <v>84</v>
      </c>
      <c r="E812" t="s">
        <v>85</v>
      </c>
      <c r="F812" t="s">
        <v>84</v>
      </c>
      <c r="G812" t="s">
        <v>39</v>
      </c>
      <c r="H812" s="8" t="s">
        <v>27</v>
      </c>
      <c r="I812" s="9">
        <v>48434.35</v>
      </c>
      <c r="J812" s="9">
        <v>14894.83</v>
      </c>
      <c r="K812" s="8" t="s">
        <v>41</v>
      </c>
      <c r="L812" s="10">
        <v>47142.36</v>
      </c>
      <c r="M812" s="8" t="s">
        <v>29</v>
      </c>
      <c r="N812" s="9">
        <v>35528.19</v>
      </c>
      <c r="O812" s="8" t="s">
        <v>30</v>
      </c>
      <c r="P812" t="str">
        <f>TEXT(Table1[[#This Row],[Transaction_Date]],"mmm")</f>
        <v>Sep</v>
      </c>
      <c r="Q812" s="11">
        <v>45903</v>
      </c>
      <c r="R812" s="8" t="s">
        <v>1926</v>
      </c>
      <c r="S812" s="8" t="s">
        <v>32</v>
      </c>
      <c r="T812" s="9">
        <v>5772.67</v>
      </c>
      <c r="U812" t="s">
        <v>33</v>
      </c>
      <c r="V812" s="8" t="s">
        <v>62</v>
      </c>
      <c r="W812"/>
      <c r="X812"/>
    </row>
    <row r="813" spans="1:24" x14ac:dyDescent="0.3">
      <c r="A813" t="s">
        <v>1927</v>
      </c>
      <c r="B813" t="s">
        <v>157</v>
      </c>
      <c r="C813">
        <v>40</v>
      </c>
      <c r="D813" t="s">
        <v>92</v>
      </c>
      <c r="E813" t="s">
        <v>93</v>
      </c>
      <c r="F813" t="s">
        <v>92</v>
      </c>
      <c r="G813" t="s">
        <v>39</v>
      </c>
      <c r="H813" s="8" t="s">
        <v>67</v>
      </c>
      <c r="I813" s="9">
        <v>12000</v>
      </c>
      <c r="J813" s="9">
        <v>23839.27</v>
      </c>
      <c r="K813" s="8" t="s">
        <v>59</v>
      </c>
      <c r="L813" s="10">
        <v>34368.11</v>
      </c>
      <c r="M813" s="8" t="s">
        <v>29</v>
      </c>
      <c r="N813" s="9">
        <v>15174.35</v>
      </c>
      <c r="O813" s="8" t="s">
        <v>30</v>
      </c>
      <c r="P813" t="str">
        <f>TEXT(Table1[[#This Row],[Transaction_Date]],"mmm")</f>
        <v>Mar</v>
      </c>
      <c r="Q813" s="11">
        <v>45741</v>
      </c>
      <c r="R813" s="8" t="s">
        <v>1928</v>
      </c>
      <c r="S813" s="8" t="s">
        <v>70</v>
      </c>
      <c r="T813" s="9">
        <v>3549.28</v>
      </c>
      <c r="U813" t="s">
        <v>106</v>
      </c>
      <c r="V813" s="8" t="s">
        <v>62</v>
      </c>
      <c r="W813"/>
      <c r="X813"/>
    </row>
    <row r="814" spans="1:24" hidden="1" x14ac:dyDescent="0.3">
      <c r="A814" t="s">
        <v>1929</v>
      </c>
      <c r="B814" t="s">
        <v>331</v>
      </c>
      <c r="C814">
        <v>48</v>
      </c>
      <c r="D814" t="s">
        <v>92</v>
      </c>
      <c r="E814" t="s">
        <v>93</v>
      </c>
      <c r="F814" t="s">
        <v>92</v>
      </c>
      <c r="G814" t="s">
        <v>80</v>
      </c>
      <c r="H814" s="8" t="s">
        <v>40</v>
      </c>
      <c r="I814" s="9">
        <v>38705.03</v>
      </c>
      <c r="J814" s="9">
        <v>39459.31</v>
      </c>
      <c r="K814" s="8" t="s">
        <v>74</v>
      </c>
      <c r="L814" s="10">
        <v>0</v>
      </c>
      <c r="M814" s="8" t="s">
        <v>75</v>
      </c>
      <c r="N814" s="9">
        <v>0</v>
      </c>
      <c r="O814" s="8" t="s">
        <v>30</v>
      </c>
      <c r="P814" t="str">
        <f>TEXT(Table1[[#This Row],[Transaction_Date]],"mmm")</f>
        <v>Jan</v>
      </c>
      <c r="Q814" s="11">
        <v>45671</v>
      </c>
      <c r="R814" s="8" t="s">
        <v>1930</v>
      </c>
      <c r="S814" s="8" t="s">
        <v>44</v>
      </c>
      <c r="T814" s="9">
        <v>1639.42</v>
      </c>
      <c r="U814" t="s">
        <v>61</v>
      </c>
      <c r="V814" s="8" t="s">
        <v>62</v>
      </c>
      <c r="W814"/>
      <c r="X814"/>
    </row>
    <row r="815" spans="1:24" x14ac:dyDescent="0.3">
      <c r="A815" t="s">
        <v>1931</v>
      </c>
      <c r="B815" t="s">
        <v>617</v>
      </c>
      <c r="C815">
        <v>23</v>
      </c>
      <c r="D815" t="s">
        <v>24</v>
      </c>
      <c r="E815" t="s">
        <v>25</v>
      </c>
      <c r="F815" t="s">
        <v>24</v>
      </c>
      <c r="G815" t="s">
        <v>39</v>
      </c>
      <c r="H815" s="8" t="s">
        <v>40</v>
      </c>
      <c r="I815" s="9">
        <v>18661.47</v>
      </c>
      <c r="J815" s="9">
        <v>17779.810000000001</v>
      </c>
      <c r="K815" s="8" t="s">
        <v>74</v>
      </c>
      <c r="L815" s="10">
        <v>0</v>
      </c>
      <c r="M815" s="8" t="s">
        <v>75</v>
      </c>
      <c r="N815" s="9">
        <v>0</v>
      </c>
      <c r="O815" s="8" t="s">
        <v>30</v>
      </c>
      <c r="P815" t="str">
        <f>TEXT(Table1[[#This Row],[Transaction_Date]],"mmm")</f>
        <v>Feb</v>
      </c>
      <c r="Q815" s="11">
        <v>45691</v>
      </c>
      <c r="R815" s="8" t="s">
        <v>1932</v>
      </c>
      <c r="S815" s="8" t="s">
        <v>54</v>
      </c>
      <c r="T815" s="9">
        <v>4319.22</v>
      </c>
      <c r="U815" t="s">
        <v>61</v>
      </c>
      <c r="V815" s="8" t="s">
        <v>62</v>
      </c>
      <c r="W815"/>
      <c r="X815"/>
    </row>
    <row r="816" spans="1:24" hidden="1" x14ac:dyDescent="0.3">
      <c r="A816" t="s">
        <v>1933</v>
      </c>
      <c r="B816" t="s">
        <v>162</v>
      </c>
      <c r="C816">
        <v>18</v>
      </c>
      <c r="D816" t="s">
        <v>92</v>
      </c>
      <c r="E816" t="s">
        <v>93</v>
      </c>
      <c r="F816" t="s">
        <v>92</v>
      </c>
      <c r="G816" t="s">
        <v>80</v>
      </c>
      <c r="H816" s="8" t="s">
        <v>27</v>
      </c>
      <c r="I816" s="9">
        <v>65805.36</v>
      </c>
      <c r="J816" s="9">
        <v>13845.93</v>
      </c>
      <c r="K816" s="8" t="s">
        <v>28</v>
      </c>
      <c r="L816" s="10">
        <v>25000</v>
      </c>
      <c r="M816" s="8" t="s">
        <v>29</v>
      </c>
      <c r="N816" s="9">
        <v>12125.14</v>
      </c>
      <c r="O816" s="8" t="s">
        <v>30</v>
      </c>
      <c r="P816" t="str">
        <f>TEXT(Table1[[#This Row],[Transaction_Date]],"mmm")</f>
        <v>May</v>
      </c>
      <c r="Q816" s="11">
        <v>45787</v>
      </c>
      <c r="R816" s="8" t="s">
        <v>1934</v>
      </c>
      <c r="S816" s="8" t="s">
        <v>32</v>
      </c>
      <c r="T816" s="9">
        <v>5676.82</v>
      </c>
      <c r="U816" t="s">
        <v>61</v>
      </c>
      <c r="V816" s="8" t="s">
        <v>34</v>
      </c>
      <c r="W816"/>
      <c r="X816"/>
    </row>
    <row r="817" spans="1:24" hidden="1" x14ac:dyDescent="0.3">
      <c r="A817" t="s">
        <v>1935</v>
      </c>
      <c r="B817" t="s">
        <v>1045</v>
      </c>
      <c r="C817">
        <v>28</v>
      </c>
      <c r="D817" t="s">
        <v>97</v>
      </c>
      <c r="E817" t="s">
        <v>98</v>
      </c>
      <c r="F817" t="s">
        <v>97</v>
      </c>
      <c r="G817" t="s">
        <v>51</v>
      </c>
      <c r="H817" s="8" t="s">
        <v>51</v>
      </c>
      <c r="I817" s="9">
        <v>70157.539999999994</v>
      </c>
      <c r="J817" s="9">
        <v>13010.31</v>
      </c>
      <c r="K817" s="8" t="s">
        <v>41</v>
      </c>
      <c r="L817" s="10">
        <v>29522.74</v>
      </c>
      <c r="M817" s="8" t="s">
        <v>42</v>
      </c>
      <c r="N817" s="9">
        <v>0</v>
      </c>
      <c r="O817" s="8" t="s">
        <v>30</v>
      </c>
      <c r="P817" t="str">
        <f>TEXT(Table1[[#This Row],[Transaction_Date]],"mmm")</f>
        <v>Sep</v>
      </c>
      <c r="Q817" s="11">
        <v>45909</v>
      </c>
      <c r="R817" s="8" t="s">
        <v>1936</v>
      </c>
      <c r="S817" s="8" t="s">
        <v>32</v>
      </c>
      <c r="T817" s="9">
        <v>4414.3999999999996</v>
      </c>
      <c r="U817" t="s">
        <v>77</v>
      </c>
      <c r="V817" s="8" t="s">
        <v>34</v>
      </c>
      <c r="W817"/>
      <c r="X817"/>
    </row>
    <row r="818" spans="1:24" hidden="1" x14ac:dyDescent="0.3">
      <c r="A818" t="s">
        <v>1937</v>
      </c>
      <c r="B818" t="s">
        <v>455</v>
      </c>
      <c r="C818">
        <v>34</v>
      </c>
      <c r="D818" t="s">
        <v>97</v>
      </c>
      <c r="E818" t="s">
        <v>98</v>
      </c>
      <c r="F818" t="s">
        <v>97</v>
      </c>
      <c r="G818" t="s">
        <v>80</v>
      </c>
      <c r="H818" s="8" t="s">
        <v>40</v>
      </c>
      <c r="I818" s="9">
        <v>73115.31</v>
      </c>
      <c r="J818" s="9">
        <v>10778.73</v>
      </c>
      <c r="K818" s="8" t="s">
        <v>68</v>
      </c>
      <c r="L818" s="10">
        <v>121689.14</v>
      </c>
      <c r="M818" s="8" t="s">
        <v>29</v>
      </c>
      <c r="N818" s="9">
        <v>104381.35</v>
      </c>
      <c r="O818" s="8" t="s">
        <v>30</v>
      </c>
      <c r="P818" t="str">
        <f>TEXT(Table1[[#This Row],[Transaction_Date]],"mmm")</f>
        <v>Aug</v>
      </c>
      <c r="Q818" s="11">
        <v>45889</v>
      </c>
      <c r="R818" s="8" t="s">
        <v>1938</v>
      </c>
      <c r="S818" s="8" t="s">
        <v>54</v>
      </c>
      <c r="T818" s="9">
        <v>985.43</v>
      </c>
      <c r="U818" t="s">
        <v>33</v>
      </c>
      <c r="V818" s="8" t="s">
        <v>46</v>
      </c>
      <c r="W818"/>
      <c r="X818"/>
    </row>
    <row r="819" spans="1:24" x14ac:dyDescent="0.3">
      <c r="A819" t="s">
        <v>1939</v>
      </c>
      <c r="B819" t="s">
        <v>607</v>
      </c>
      <c r="C819">
        <v>58</v>
      </c>
      <c r="D819" t="s">
        <v>37</v>
      </c>
      <c r="E819" t="s">
        <v>38</v>
      </c>
      <c r="F819" t="s">
        <v>37</v>
      </c>
      <c r="G819" t="s">
        <v>39</v>
      </c>
      <c r="H819" s="8" t="s">
        <v>40</v>
      </c>
      <c r="I819" s="9">
        <v>56122.94</v>
      </c>
      <c r="J819" s="9">
        <v>12347.81</v>
      </c>
      <c r="K819" s="8" t="s">
        <v>59</v>
      </c>
      <c r="L819" s="10">
        <v>79068.37</v>
      </c>
      <c r="M819" s="8" t="s">
        <v>29</v>
      </c>
      <c r="N819" s="9">
        <v>17043.66</v>
      </c>
      <c r="O819" s="8" t="s">
        <v>30</v>
      </c>
      <c r="P819" t="str">
        <f>TEXT(Table1[[#This Row],[Transaction_Date]],"mmm")</f>
        <v>Jan</v>
      </c>
      <c r="Q819" s="11">
        <v>45688</v>
      </c>
      <c r="R819" s="8" t="s">
        <v>1940</v>
      </c>
      <c r="S819" s="8" t="s">
        <v>32</v>
      </c>
      <c r="T819" s="9">
        <v>6309.74</v>
      </c>
      <c r="U819" t="s">
        <v>33</v>
      </c>
      <c r="V819" s="8" t="s">
        <v>62</v>
      </c>
      <c r="W819"/>
      <c r="X819"/>
    </row>
    <row r="820" spans="1:24" x14ac:dyDescent="0.3">
      <c r="A820" t="s">
        <v>1941</v>
      </c>
      <c r="B820" t="s">
        <v>1942</v>
      </c>
      <c r="C820">
        <v>18</v>
      </c>
      <c r="D820" t="s">
        <v>97</v>
      </c>
      <c r="E820" t="s">
        <v>98</v>
      </c>
      <c r="F820" t="s">
        <v>97</v>
      </c>
      <c r="G820" t="s">
        <v>39</v>
      </c>
      <c r="H820" s="8" t="s">
        <v>40</v>
      </c>
      <c r="I820" s="9">
        <v>90658.559999999998</v>
      </c>
      <c r="J820" s="9">
        <v>40517.78</v>
      </c>
      <c r="K820" s="8" t="s">
        <v>74</v>
      </c>
      <c r="L820" s="10">
        <v>0</v>
      </c>
      <c r="M820" s="8" t="s">
        <v>75</v>
      </c>
      <c r="N820" s="9">
        <v>0</v>
      </c>
      <c r="O820" s="8" t="s">
        <v>30</v>
      </c>
      <c r="P820" t="str">
        <f>TEXT(Table1[[#This Row],[Transaction_Date]],"mmm")</f>
        <v>Mar</v>
      </c>
      <c r="Q820" s="11">
        <v>45742</v>
      </c>
      <c r="R820" s="8" t="s">
        <v>1943</v>
      </c>
      <c r="S820" s="8" t="s">
        <v>32</v>
      </c>
      <c r="T820" s="9">
        <v>3390.6</v>
      </c>
      <c r="U820" t="s">
        <v>106</v>
      </c>
      <c r="V820" s="8" t="s">
        <v>34</v>
      </c>
      <c r="W820"/>
      <c r="X820"/>
    </row>
    <row r="821" spans="1:24" x14ac:dyDescent="0.3">
      <c r="A821" t="s">
        <v>1944</v>
      </c>
      <c r="B821" t="s">
        <v>643</v>
      </c>
      <c r="C821">
        <v>21</v>
      </c>
      <c r="D821" t="s">
        <v>97</v>
      </c>
      <c r="E821" t="s">
        <v>98</v>
      </c>
      <c r="F821" t="s">
        <v>97</v>
      </c>
      <c r="G821" t="s">
        <v>39</v>
      </c>
      <c r="H821" s="8" t="s">
        <v>67</v>
      </c>
      <c r="I821" s="9">
        <v>23346.13</v>
      </c>
      <c r="J821" s="9">
        <v>23342.26</v>
      </c>
      <c r="K821" s="8" t="s">
        <v>59</v>
      </c>
      <c r="L821" s="10">
        <v>56540.6</v>
      </c>
      <c r="M821" s="8" t="s">
        <v>42</v>
      </c>
      <c r="N821" s="9">
        <v>0</v>
      </c>
      <c r="O821" s="8" t="s">
        <v>30</v>
      </c>
      <c r="P821" t="str">
        <f>TEXT(Table1[[#This Row],[Transaction_Date]],"mmm")</f>
        <v>Jun</v>
      </c>
      <c r="Q821" s="11">
        <v>45820</v>
      </c>
      <c r="R821" s="8" t="s">
        <v>1945</v>
      </c>
      <c r="S821" s="8" t="s">
        <v>54</v>
      </c>
      <c r="T821" s="9">
        <v>11207.45</v>
      </c>
      <c r="U821" t="s">
        <v>61</v>
      </c>
      <c r="V821" s="8" t="s">
        <v>62</v>
      </c>
      <c r="W821"/>
      <c r="X821"/>
    </row>
    <row r="822" spans="1:24" x14ac:dyDescent="0.3">
      <c r="A822" t="s">
        <v>1946</v>
      </c>
      <c r="B822" t="s">
        <v>600</v>
      </c>
      <c r="C822">
        <v>43</v>
      </c>
      <c r="D822" t="s">
        <v>37</v>
      </c>
      <c r="E822" t="s">
        <v>38</v>
      </c>
      <c r="F822" t="s">
        <v>37</v>
      </c>
      <c r="G822" t="s">
        <v>39</v>
      </c>
      <c r="H822" s="8" t="s">
        <v>40</v>
      </c>
      <c r="I822" s="9">
        <v>87322.96</v>
      </c>
      <c r="J822" s="9">
        <v>3921.22</v>
      </c>
      <c r="K822" s="8" t="s">
        <v>68</v>
      </c>
      <c r="L822" s="10">
        <v>31303.19</v>
      </c>
      <c r="M822" s="8" t="s">
        <v>29</v>
      </c>
      <c r="N822" s="9">
        <v>25582.080000000002</v>
      </c>
      <c r="O822" s="8" t="s">
        <v>30</v>
      </c>
      <c r="P822" t="str">
        <f>TEXT(Table1[[#This Row],[Transaction_Date]],"mmm")</f>
        <v>Jan</v>
      </c>
      <c r="Q822" s="11">
        <v>45660</v>
      </c>
      <c r="R822" s="8" t="s">
        <v>1947</v>
      </c>
      <c r="S822" s="8" t="s">
        <v>54</v>
      </c>
      <c r="T822" s="9">
        <v>1397.73</v>
      </c>
      <c r="U822" t="s">
        <v>45</v>
      </c>
      <c r="V822" s="8" t="s">
        <v>46</v>
      </c>
      <c r="W822"/>
      <c r="X822"/>
    </row>
    <row r="823" spans="1:24" hidden="1" x14ac:dyDescent="0.3">
      <c r="A823" t="s">
        <v>1948</v>
      </c>
      <c r="B823" t="s">
        <v>362</v>
      </c>
      <c r="C823">
        <v>23</v>
      </c>
      <c r="D823" t="s">
        <v>65</v>
      </c>
      <c r="E823" t="s">
        <v>66</v>
      </c>
      <c r="F823" t="s">
        <v>65</v>
      </c>
      <c r="G823" t="s">
        <v>80</v>
      </c>
      <c r="H823" s="8" t="s">
        <v>67</v>
      </c>
      <c r="I823" s="9">
        <v>28626.5</v>
      </c>
      <c r="J823" s="9">
        <v>18974.68</v>
      </c>
      <c r="K823" s="8" t="s">
        <v>68</v>
      </c>
      <c r="L823" s="10">
        <v>30623.02</v>
      </c>
      <c r="M823" s="8" t="s">
        <v>29</v>
      </c>
      <c r="N823" s="9">
        <v>6545.35</v>
      </c>
      <c r="O823" s="8" t="s">
        <v>30</v>
      </c>
      <c r="P823" t="str">
        <f>TEXT(Table1[[#This Row],[Transaction_Date]],"mmm")</f>
        <v>Jan</v>
      </c>
      <c r="Q823" s="11">
        <v>45674</v>
      </c>
      <c r="R823" s="8" t="s">
        <v>1949</v>
      </c>
      <c r="S823" s="8" t="s">
        <v>54</v>
      </c>
      <c r="T823" s="9">
        <v>4045.4</v>
      </c>
      <c r="U823" t="s">
        <v>61</v>
      </c>
      <c r="V823" s="8" t="s">
        <v>62</v>
      </c>
      <c r="W823"/>
      <c r="X823"/>
    </row>
    <row r="824" spans="1:24" hidden="1" x14ac:dyDescent="0.3">
      <c r="A824" t="s">
        <v>1950</v>
      </c>
      <c r="B824" t="s">
        <v>1068</v>
      </c>
      <c r="C824">
        <v>42</v>
      </c>
      <c r="D824" t="s">
        <v>24</v>
      </c>
      <c r="E824" t="s">
        <v>25</v>
      </c>
      <c r="F824" t="s">
        <v>24</v>
      </c>
      <c r="G824" t="s">
        <v>26</v>
      </c>
      <c r="H824" s="8" t="s">
        <v>40</v>
      </c>
      <c r="I824" s="9">
        <v>50120.73</v>
      </c>
      <c r="J824" s="9">
        <v>124181.28</v>
      </c>
      <c r="K824" s="8" t="s">
        <v>28</v>
      </c>
      <c r="L824" s="10">
        <v>225685.69</v>
      </c>
      <c r="M824" s="8" t="s">
        <v>29</v>
      </c>
      <c r="N824" s="9">
        <v>162989.67000000001</v>
      </c>
      <c r="O824" s="8" t="s">
        <v>30</v>
      </c>
      <c r="P824" t="str">
        <f>TEXT(Table1[[#This Row],[Transaction_Date]],"mmm")</f>
        <v>Jul</v>
      </c>
      <c r="Q824" s="11">
        <v>45841</v>
      </c>
      <c r="R824" s="8" t="s">
        <v>1951</v>
      </c>
      <c r="S824" s="8" t="s">
        <v>54</v>
      </c>
      <c r="T824" s="9">
        <v>588.57000000000005</v>
      </c>
      <c r="U824" t="s">
        <v>106</v>
      </c>
      <c r="V824" s="8" t="s">
        <v>62</v>
      </c>
      <c r="W824"/>
      <c r="X824"/>
    </row>
    <row r="825" spans="1:24" x14ac:dyDescent="0.3">
      <c r="A825" t="s">
        <v>1952</v>
      </c>
      <c r="B825" t="s">
        <v>771</v>
      </c>
      <c r="C825">
        <v>18</v>
      </c>
      <c r="D825" t="s">
        <v>84</v>
      </c>
      <c r="E825" t="s">
        <v>85</v>
      </c>
      <c r="F825" t="s">
        <v>84</v>
      </c>
      <c r="G825" t="s">
        <v>39</v>
      </c>
      <c r="H825" s="8" t="s">
        <v>51</v>
      </c>
      <c r="I825" s="9">
        <v>54319.199999999997</v>
      </c>
      <c r="J825" s="9">
        <v>43374.26</v>
      </c>
      <c r="K825" s="8" t="s">
        <v>52</v>
      </c>
      <c r="L825" s="10">
        <v>65539.240000000005</v>
      </c>
      <c r="M825" s="8" t="s">
        <v>29</v>
      </c>
      <c r="N825" s="9">
        <v>33463.14</v>
      </c>
      <c r="O825" s="8" t="s">
        <v>30</v>
      </c>
      <c r="P825" t="str">
        <f>TEXT(Table1[[#This Row],[Transaction_Date]],"mmm")</f>
        <v>May</v>
      </c>
      <c r="Q825" s="11">
        <v>45802</v>
      </c>
      <c r="R825" s="8" t="s">
        <v>1953</v>
      </c>
      <c r="S825" s="8" t="s">
        <v>44</v>
      </c>
      <c r="T825" s="9">
        <v>1134.94</v>
      </c>
      <c r="U825" t="s">
        <v>71</v>
      </c>
      <c r="V825" s="8" t="s">
        <v>62</v>
      </c>
      <c r="W825"/>
      <c r="X825"/>
    </row>
    <row r="826" spans="1:24" x14ac:dyDescent="0.3">
      <c r="A826" t="s">
        <v>1954</v>
      </c>
      <c r="B826" t="s">
        <v>1377</v>
      </c>
      <c r="C826">
        <v>32</v>
      </c>
      <c r="D826" t="s">
        <v>57</v>
      </c>
      <c r="E826" t="s">
        <v>58</v>
      </c>
      <c r="F826" t="s">
        <v>57</v>
      </c>
      <c r="G826" t="s">
        <v>39</v>
      </c>
      <c r="H826" s="8" t="s">
        <v>40</v>
      </c>
      <c r="I826" s="9">
        <v>12000</v>
      </c>
      <c r="J826" s="9">
        <v>83444.09</v>
      </c>
      <c r="K826" s="8" t="s">
        <v>41</v>
      </c>
      <c r="L826" s="10">
        <v>99221.36</v>
      </c>
      <c r="M826" s="8" t="s">
        <v>42</v>
      </c>
      <c r="N826" s="9">
        <v>0</v>
      </c>
      <c r="O826" s="8" t="s">
        <v>30</v>
      </c>
      <c r="P826" t="str">
        <f>TEXT(Table1[[#This Row],[Transaction_Date]],"mmm")</f>
        <v>Mar</v>
      </c>
      <c r="Q826" s="11">
        <v>45717</v>
      </c>
      <c r="R826" s="8" t="s">
        <v>1955</v>
      </c>
      <c r="S826" s="8" t="s">
        <v>70</v>
      </c>
      <c r="T826" s="9">
        <v>1067.68</v>
      </c>
      <c r="U826" t="s">
        <v>77</v>
      </c>
      <c r="V826" s="8" t="s">
        <v>62</v>
      </c>
      <c r="W826"/>
      <c r="X826"/>
    </row>
    <row r="827" spans="1:24" hidden="1" x14ac:dyDescent="0.3">
      <c r="A827" t="s">
        <v>1956</v>
      </c>
      <c r="B827" t="s">
        <v>1276</v>
      </c>
      <c r="C827">
        <v>35</v>
      </c>
      <c r="D827" t="s">
        <v>65</v>
      </c>
      <c r="E827" t="s">
        <v>66</v>
      </c>
      <c r="F827" t="s">
        <v>65</v>
      </c>
      <c r="G827" t="s">
        <v>51</v>
      </c>
      <c r="H827" s="8" t="s">
        <v>40</v>
      </c>
      <c r="I827" s="9">
        <v>40190.97</v>
      </c>
      <c r="J827" s="9">
        <v>9596.34</v>
      </c>
      <c r="K827" s="8" t="s">
        <v>28</v>
      </c>
      <c r="L827" s="10">
        <v>626956.48</v>
      </c>
      <c r="M827" s="8" t="s">
        <v>42</v>
      </c>
      <c r="N827" s="9">
        <v>0</v>
      </c>
      <c r="O827" s="8" t="s">
        <v>30</v>
      </c>
      <c r="P827" t="str">
        <f>TEXT(Table1[[#This Row],[Transaction_Date]],"mmm")</f>
        <v>Jan</v>
      </c>
      <c r="Q827" s="11">
        <v>45664</v>
      </c>
      <c r="R827" s="8" t="s">
        <v>1957</v>
      </c>
      <c r="S827" s="8" t="s">
        <v>32</v>
      </c>
      <c r="T827" s="9">
        <v>265.89999999999998</v>
      </c>
      <c r="U827" t="s">
        <v>45</v>
      </c>
      <c r="V827" s="8" t="s">
        <v>34</v>
      </c>
      <c r="W827"/>
      <c r="X827"/>
    </row>
    <row r="828" spans="1:24" x14ac:dyDescent="0.3">
      <c r="A828" t="s">
        <v>1958</v>
      </c>
      <c r="B828" t="s">
        <v>577</v>
      </c>
      <c r="C828">
        <v>42</v>
      </c>
      <c r="D828" t="s">
        <v>57</v>
      </c>
      <c r="E828" t="s">
        <v>58</v>
      </c>
      <c r="F828" t="s">
        <v>57</v>
      </c>
      <c r="G828" t="s">
        <v>39</v>
      </c>
      <c r="H828" s="8" t="s">
        <v>40</v>
      </c>
      <c r="I828" s="9">
        <v>40414.97</v>
      </c>
      <c r="J828" s="9">
        <v>82362.17</v>
      </c>
      <c r="K828" s="8" t="s">
        <v>74</v>
      </c>
      <c r="L828" s="10">
        <v>0</v>
      </c>
      <c r="M828" s="8" t="s">
        <v>75</v>
      </c>
      <c r="N828" s="9">
        <v>0</v>
      </c>
      <c r="O828" s="8" t="s">
        <v>30</v>
      </c>
      <c r="P828" t="str">
        <f>TEXT(Table1[[#This Row],[Transaction_Date]],"mmm")</f>
        <v>Jan</v>
      </c>
      <c r="Q828" s="11">
        <v>45678</v>
      </c>
      <c r="R828" s="8" t="s">
        <v>1959</v>
      </c>
      <c r="S828" s="8" t="s">
        <v>70</v>
      </c>
      <c r="T828" s="9">
        <v>10325.89</v>
      </c>
      <c r="U828" t="s">
        <v>77</v>
      </c>
      <c r="V828" s="8" t="s">
        <v>62</v>
      </c>
      <c r="W828"/>
      <c r="X828"/>
    </row>
    <row r="829" spans="1:24" hidden="1" x14ac:dyDescent="0.3">
      <c r="A829" t="s">
        <v>1960</v>
      </c>
      <c r="B829" t="s">
        <v>847</v>
      </c>
      <c r="C829">
        <v>49</v>
      </c>
      <c r="D829" t="s">
        <v>24</v>
      </c>
      <c r="E829" t="s">
        <v>25</v>
      </c>
      <c r="F829" t="s">
        <v>24</v>
      </c>
      <c r="G829" t="s">
        <v>51</v>
      </c>
      <c r="H829" s="8" t="s">
        <v>40</v>
      </c>
      <c r="I829" s="9">
        <v>71851.92</v>
      </c>
      <c r="J829" s="9">
        <v>29362.06</v>
      </c>
      <c r="K829" s="8" t="s">
        <v>52</v>
      </c>
      <c r="L829" s="10">
        <v>26595.200000000001</v>
      </c>
      <c r="M829" s="8" t="s">
        <v>29</v>
      </c>
      <c r="N829" s="9">
        <v>22604.75</v>
      </c>
      <c r="O829" s="8" t="s">
        <v>30</v>
      </c>
      <c r="P829" t="str">
        <f>TEXT(Table1[[#This Row],[Transaction_Date]],"mmm")</f>
        <v>Jul</v>
      </c>
      <c r="Q829" s="11">
        <v>45858</v>
      </c>
      <c r="R829" s="8" t="s">
        <v>1961</v>
      </c>
      <c r="S829" s="8" t="s">
        <v>54</v>
      </c>
      <c r="T829" s="9">
        <v>1465.07</v>
      </c>
      <c r="U829" t="s">
        <v>33</v>
      </c>
      <c r="V829" s="8" t="s">
        <v>34</v>
      </c>
      <c r="W829"/>
      <c r="X829"/>
    </row>
    <row r="830" spans="1:24" x14ac:dyDescent="0.3">
      <c r="A830" t="s">
        <v>1962</v>
      </c>
      <c r="B830" t="s">
        <v>706</v>
      </c>
      <c r="C830">
        <v>45</v>
      </c>
      <c r="D830" t="s">
        <v>57</v>
      </c>
      <c r="E830" t="s">
        <v>58</v>
      </c>
      <c r="F830" t="s">
        <v>57</v>
      </c>
      <c r="G830" t="s">
        <v>39</v>
      </c>
      <c r="H830" s="8" t="s">
        <v>40</v>
      </c>
      <c r="I830" s="9">
        <v>16231.68</v>
      </c>
      <c r="J830" s="9">
        <v>60643.98</v>
      </c>
      <c r="K830" s="8" t="s">
        <v>28</v>
      </c>
      <c r="L830" s="10">
        <v>25000</v>
      </c>
      <c r="M830" s="8" t="s">
        <v>42</v>
      </c>
      <c r="N830" s="9">
        <v>0</v>
      </c>
      <c r="O830" s="8" t="s">
        <v>30</v>
      </c>
      <c r="P830" t="str">
        <f>TEXT(Table1[[#This Row],[Transaction_Date]],"mmm")</f>
        <v>Jan</v>
      </c>
      <c r="Q830" s="11">
        <v>45660</v>
      </c>
      <c r="R830" s="8" t="s">
        <v>1963</v>
      </c>
      <c r="S830" s="8" t="s">
        <v>32</v>
      </c>
      <c r="T830" s="9">
        <v>8938.07</v>
      </c>
      <c r="U830" t="s">
        <v>71</v>
      </c>
      <c r="V830" s="8" t="s">
        <v>62</v>
      </c>
      <c r="W830"/>
      <c r="X830"/>
    </row>
    <row r="831" spans="1:24" x14ac:dyDescent="0.3">
      <c r="A831" t="s">
        <v>1964</v>
      </c>
      <c r="B831" t="s">
        <v>921</v>
      </c>
      <c r="C831">
        <v>60</v>
      </c>
      <c r="D831" t="s">
        <v>97</v>
      </c>
      <c r="E831" t="s">
        <v>98</v>
      </c>
      <c r="F831" t="s">
        <v>97</v>
      </c>
      <c r="G831" t="s">
        <v>39</v>
      </c>
      <c r="H831" s="8" t="s">
        <v>51</v>
      </c>
      <c r="I831" s="9">
        <v>81325.8</v>
      </c>
      <c r="J831" s="9">
        <v>24331.16</v>
      </c>
      <c r="K831" s="8" t="s">
        <v>59</v>
      </c>
      <c r="L831" s="10">
        <v>186668.04</v>
      </c>
      <c r="M831" s="8" t="s">
        <v>29</v>
      </c>
      <c r="N831" s="9">
        <v>108238.69</v>
      </c>
      <c r="O831" s="8" t="s">
        <v>30</v>
      </c>
      <c r="P831" t="str">
        <f>TEXT(Table1[[#This Row],[Transaction_Date]],"mmm")</f>
        <v>May</v>
      </c>
      <c r="Q831" s="11">
        <v>45790</v>
      </c>
      <c r="R831" s="8" t="s">
        <v>1965</v>
      </c>
      <c r="S831" s="8" t="s">
        <v>44</v>
      </c>
      <c r="T831" s="9">
        <v>594.13</v>
      </c>
      <c r="U831" t="s">
        <v>71</v>
      </c>
      <c r="V831" s="8" t="s">
        <v>62</v>
      </c>
      <c r="W831"/>
      <c r="X831"/>
    </row>
    <row r="832" spans="1:24" x14ac:dyDescent="0.3">
      <c r="A832" t="s">
        <v>1966</v>
      </c>
      <c r="B832" t="s">
        <v>79</v>
      </c>
      <c r="C832">
        <v>36</v>
      </c>
      <c r="D832" t="s">
        <v>84</v>
      </c>
      <c r="E832" t="s">
        <v>85</v>
      </c>
      <c r="F832" t="s">
        <v>84</v>
      </c>
      <c r="G832" t="s">
        <v>39</v>
      </c>
      <c r="H832" s="8" t="s">
        <v>40</v>
      </c>
      <c r="I832" s="9">
        <v>58112.55</v>
      </c>
      <c r="J832" s="9">
        <v>23880.26</v>
      </c>
      <c r="K832" s="8" t="s">
        <v>28</v>
      </c>
      <c r="L832" s="10">
        <v>162596</v>
      </c>
      <c r="M832" s="8" t="s">
        <v>29</v>
      </c>
      <c r="N832" s="9">
        <v>112754.33</v>
      </c>
      <c r="O832" s="8" t="s">
        <v>30</v>
      </c>
      <c r="P832" t="str">
        <f>TEXT(Table1[[#This Row],[Transaction_Date]],"mmm")</f>
        <v>Feb</v>
      </c>
      <c r="Q832" s="11">
        <v>45716</v>
      </c>
      <c r="R832" s="8" t="s">
        <v>1967</v>
      </c>
      <c r="S832" s="8" t="s">
        <v>70</v>
      </c>
      <c r="T832" s="9">
        <v>3137.53</v>
      </c>
      <c r="U832" t="s">
        <v>77</v>
      </c>
      <c r="V832" s="8" t="s">
        <v>62</v>
      </c>
      <c r="W832"/>
      <c r="X832"/>
    </row>
    <row r="833" spans="1:24" x14ac:dyDescent="0.3">
      <c r="A833" t="s">
        <v>1968</v>
      </c>
      <c r="B833" t="s">
        <v>304</v>
      </c>
      <c r="C833">
        <v>29</v>
      </c>
      <c r="D833" t="s">
        <v>24</v>
      </c>
      <c r="E833" t="s">
        <v>25</v>
      </c>
      <c r="F833" t="s">
        <v>24</v>
      </c>
      <c r="G833" t="s">
        <v>39</v>
      </c>
      <c r="H833" s="8" t="s">
        <v>40</v>
      </c>
      <c r="I833" s="9">
        <v>74525.039999999994</v>
      </c>
      <c r="J833" s="9">
        <v>37096.639999999999</v>
      </c>
      <c r="K833" s="8" t="s">
        <v>59</v>
      </c>
      <c r="L833" s="10">
        <v>25000</v>
      </c>
      <c r="M833" s="8" t="s">
        <v>29</v>
      </c>
      <c r="N833" s="9">
        <v>5587.28</v>
      </c>
      <c r="O833" s="8" t="s">
        <v>30</v>
      </c>
      <c r="P833" t="str">
        <f>TEXT(Table1[[#This Row],[Transaction_Date]],"mmm")</f>
        <v>Apr</v>
      </c>
      <c r="Q833" s="11">
        <v>45765</v>
      </c>
      <c r="R833" s="8" t="s">
        <v>1969</v>
      </c>
      <c r="S833" s="8" t="s">
        <v>44</v>
      </c>
      <c r="T833" s="9">
        <v>3672.99</v>
      </c>
      <c r="U833" t="s">
        <v>77</v>
      </c>
      <c r="V833" s="8" t="s">
        <v>62</v>
      </c>
      <c r="W833"/>
      <c r="X833"/>
    </row>
    <row r="834" spans="1:24" hidden="1" x14ac:dyDescent="0.3">
      <c r="A834" t="s">
        <v>1970</v>
      </c>
      <c r="B834" t="s">
        <v>401</v>
      </c>
      <c r="C834">
        <v>52</v>
      </c>
      <c r="D834" t="s">
        <v>97</v>
      </c>
      <c r="E834" t="s">
        <v>98</v>
      </c>
      <c r="F834" t="s">
        <v>97</v>
      </c>
      <c r="G834" t="s">
        <v>51</v>
      </c>
      <c r="H834" s="8" t="s">
        <v>40</v>
      </c>
      <c r="I834" s="9">
        <v>45737.33</v>
      </c>
      <c r="J834" s="9">
        <v>173991.25</v>
      </c>
      <c r="K834" s="8" t="s">
        <v>74</v>
      </c>
      <c r="L834" s="10">
        <v>0</v>
      </c>
      <c r="M834" s="8" t="s">
        <v>75</v>
      </c>
      <c r="N834" s="9">
        <v>0</v>
      </c>
      <c r="O834" s="8" t="s">
        <v>30</v>
      </c>
      <c r="P834" t="str">
        <f>TEXT(Table1[[#This Row],[Transaction_Date]],"mmm")</f>
        <v>Jan</v>
      </c>
      <c r="Q834" s="11">
        <v>45660</v>
      </c>
      <c r="R834" s="8" t="s">
        <v>1971</v>
      </c>
      <c r="S834" s="8" t="s">
        <v>32</v>
      </c>
      <c r="T834" s="9">
        <v>466.74</v>
      </c>
      <c r="U834" t="s">
        <v>77</v>
      </c>
      <c r="V834" s="8" t="s">
        <v>62</v>
      </c>
      <c r="W834"/>
      <c r="X834"/>
    </row>
    <row r="835" spans="1:24" x14ac:dyDescent="0.3">
      <c r="A835" t="s">
        <v>1972</v>
      </c>
      <c r="B835" t="s">
        <v>368</v>
      </c>
      <c r="C835">
        <v>34</v>
      </c>
      <c r="D835" t="s">
        <v>57</v>
      </c>
      <c r="E835" t="s">
        <v>58</v>
      </c>
      <c r="F835" t="s">
        <v>57</v>
      </c>
      <c r="G835" t="s">
        <v>39</v>
      </c>
      <c r="H835" s="8" t="s">
        <v>40</v>
      </c>
      <c r="I835" s="9">
        <v>80412.23</v>
      </c>
      <c r="J835" s="9">
        <v>27480.48</v>
      </c>
      <c r="K835" s="8" t="s">
        <v>74</v>
      </c>
      <c r="L835" s="10">
        <v>0</v>
      </c>
      <c r="M835" s="8" t="s">
        <v>75</v>
      </c>
      <c r="N835" s="9">
        <v>0</v>
      </c>
      <c r="O835" s="8" t="s">
        <v>30</v>
      </c>
      <c r="P835" t="str">
        <f>TEXT(Table1[[#This Row],[Transaction_Date]],"mmm")</f>
        <v>Sep</v>
      </c>
      <c r="Q835" s="11">
        <v>45928</v>
      </c>
      <c r="R835" s="8" t="s">
        <v>1973</v>
      </c>
      <c r="S835" s="8" t="s">
        <v>32</v>
      </c>
      <c r="T835" s="9">
        <v>1733.28</v>
      </c>
      <c r="U835" t="s">
        <v>77</v>
      </c>
      <c r="V835" s="8" t="s">
        <v>62</v>
      </c>
      <c r="W835"/>
      <c r="X835"/>
    </row>
    <row r="836" spans="1:24" hidden="1" x14ac:dyDescent="0.3">
      <c r="A836" t="s">
        <v>1974</v>
      </c>
      <c r="B836" t="s">
        <v>832</v>
      </c>
      <c r="C836">
        <v>32</v>
      </c>
      <c r="D836" t="s">
        <v>57</v>
      </c>
      <c r="E836" t="s">
        <v>58</v>
      </c>
      <c r="F836" t="s">
        <v>57</v>
      </c>
      <c r="G836" t="s">
        <v>26</v>
      </c>
      <c r="H836" s="8" t="s">
        <v>67</v>
      </c>
      <c r="I836" s="9">
        <v>21775.42</v>
      </c>
      <c r="J836" s="9">
        <v>23711.14</v>
      </c>
      <c r="K836" s="8" t="s">
        <v>59</v>
      </c>
      <c r="L836" s="10">
        <v>73961.899999999994</v>
      </c>
      <c r="M836" s="8" t="s">
        <v>29</v>
      </c>
      <c r="N836" s="9">
        <v>48957.49</v>
      </c>
      <c r="O836" s="8" t="s">
        <v>30</v>
      </c>
      <c r="P836" t="str">
        <f>TEXT(Table1[[#This Row],[Transaction_Date]],"mmm")</f>
        <v>Jul</v>
      </c>
      <c r="Q836" s="11">
        <v>45859</v>
      </c>
      <c r="R836" s="8" t="s">
        <v>1975</v>
      </c>
      <c r="S836" s="8" t="s">
        <v>54</v>
      </c>
      <c r="T836" s="9">
        <v>6710.48</v>
      </c>
      <c r="U836" t="s">
        <v>77</v>
      </c>
      <c r="V836" s="8" t="s">
        <v>62</v>
      </c>
      <c r="W836"/>
      <c r="X836"/>
    </row>
    <row r="837" spans="1:24" hidden="1" x14ac:dyDescent="0.3">
      <c r="A837" t="s">
        <v>1976</v>
      </c>
      <c r="B837" t="s">
        <v>393</v>
      </c>
      <c r="C837">
        <v>34</v>
      </c>
      <c r="D837" t="s">
        <v>97</v>
      </c>
      <c r="E837" t="s">
        <v>98</v>
      </c>
      <c r="F837" t="s">
        <v>97</v>
      </c>
      <c r="G837" t="s">
        <v>80</v>
      </c>
      <c r="H837" s="8" t="s">
        <v>67</v>
      </c>
      <c r="I837" s="9">
        <v>34560.699999999997</v>
      </c>
      <c r="J837" s="9">
        <v>13246.91</v>
      </c>
      <c r="K837" s="8" t="s">
        <v>41</v>
      </c>
      <c r="L837" s="10">
        <v>65431.73</v>
      </c>
      <c r="M837" s="8" t="s">
        <v>42</v>
      </c>
      <c r="N837" s="9">
        <v>0</v>
      </c>
      <c r="O837" s="8" t="s">
        <v>30</v>
      </c>
      <c r="P837" t="str">
        <f>TEXT(Table1[[#This Row],[Transaction_Date]],"mmm")</f>
        <v>Oct</v>
      </c>
      <c r="Q837" s="11">
        <v>45961</v>
      </c>
      <c r="R837" s="8" t="s">
        <v>1977</v>
      </c>
      <c r="S837" s="8" t="s">
        <v>54</v>
      </c>
      <c r="T837" s="9">
        <v>6173.51</v>
      </c>
      <c r="U837" t="s">
        <v>106</v>
      </c>
      <c r="V837" s="8" t="s">
        <v>62</v>
      </c>
      <c r="W837"/>
      <c r="X837"/>
    </row>
    <row r="838" spans="1:24" x14ac:dyDescent="0.3">
      <c r="A838" t="s">
        <v>1978</v>
      </c>
      <c r="B838" t="s">
        <v>1412</v>
      </c>
      <c r="C838">
        <v>42</v>
      </c>
      <c r="D838" t="s">
        <v>37</v>
      </c>
      <c r="E838" t="s">
        <v>38</v>
      </c>
      <c r="F838" t="s">
        <v>37</v>
      </c>
      <c r="G838" t="s">
        <v>39</v>
      </c>
      <c r="H838" s="8" t="s">
        <v>51</v>
      </c>
      <c r="I838" s="9">
        <v>42983.08</v>
      </c>
      <c r="J838" s="9">
        <v>87598.36</v>
      </c>
      <c r="K838" s="8" t="s">
        <v>59</v>
      </c>
      <c r="L838" s="10">
        <v>40525.949999999997</v>
      </c>
      <c r="M838" s="8" t="s">
        <v>29</v>
      </c>
      <c r="N838" s="9">
        <v>17373.509999999998</v>
      </c>
      <c r="O838" s="8" t="s">
        <v>30</v>
      </c>
      <c r="P838" t="str">
        <f>TEXT(Table1[[#This Row],[Transaction_Date]],"mmm")</f>
        <v>Aug</v>
      </c>
      <c r="Q838" s="11">
        <v>45888</v>
      </c>
      <c r="R838" s="8" t="s">
        <v>1979</v>
      </c>
      <c r="S838" s="8" t="s">
        <v>54</v>
      </c>
      <c r="T838" s="9">
        <v>4626.6499999999996</v>
      </c>
      <c r="U838" t="s">
        <v>71</v>
      </c>
      <c r="V838" s="8" t="s">
        <v>62</v>
      </c>
      <c r="W838"/>
      <c r="X838"/>
    </row>
    <row r="839" spans="1:24" hidden="1" x14ac:dyDescent="0.3">
      <c r="A839" t="s">
        <v>1980</v>
      </c>
      <c r="B839" t="s">
        <v>548</v>
      </c>
      <c r="C839">
        <v>34</v>
      </c>
      <c r="D839" t="s">
        <v>24</v>
      </c>
      <c r="E839" t="s">
        <v>25</v>
      </c>
      <c r="F839" t="s">
        <v>24</v>
      </c>
      <c r="G839" t="s">
        <v>80</v>
      </c>
      <c r="H839" s="8" t="s">
        <v>51</v>
      </c>
      <c r="I839" s="9">
        <v>59627.86</v>
      </c>
      <c r="J839" s="9">
        <v>23225.040000000001</v>
      </c>
      <c r="K839" s="8" t="s">
        <v>52</v>
      </c>
      <c r="L839" s="10">
        <v>79496.38</v>
      </c>
      <c r="M839" s="8" t="s">
        <v>29</v>
      </c>
      <c r="N839" s="9">
        <v>55173.93</v>
      </c>
      <c r="O839" s="8" t="s">
        <v>30</v>
      </c>
      <c r="P839" t="str">
        <f>TEXT(Table1[[#This Row],[Transaction_Date]],"mmm")</f>
        <v>Mar</v>
      </c>
      <c r="Q839" s="11">
        <v>45718</v>
      </c>
      <c r="R839" s="8" t="s">
        <v>1981</v>
      </c>
      <c r="S839" s="8" t="s">
        <v>44</v>
      </c>
      <c r="T839" s="9">
        <v>1857.81</v>
      </c>
      <c r="U839" t="s">
        <v>106</v>
      </c>
      <c r="V839" s="8" t="s">
        <v>62</v>
      </c>
      <c r="W839"/>
      <c r="X839"/>
    </row>
    <row r="840" spans="1:24" x14ac:dyDescent="0.3">
      <c r="A840" t="s">
        <v>1982</v>
      </c>
      <c r="B840" t="s">
        <v>56</v>
      </c>
      <c r="C840">
        <v>55</v>
      </c>
      <c r="D840" t="s">
        <v>65</v>
      </c>
      <c r="E840" t="s">
        <v>66</v>
      </c>
      <c r="F840" t="s">
        <v>65</v>
      </c>
      <c r="G840" t="s">
        <v>39</v>
      </c>
      <c r="H840" s="8" t="s">
        <v>40</v>
      </c>
      <c r="I840" s="9">
        <v>40617.68</v>
      </c>
      <c r="J840" s="9">
        <v>11791.91</v>
      </c>
      <c r="K840" s="8" t="s">
        <v>68</v>
      </c>
      <c r="L840" s="10">
        <v>118961.15</v>
      </c>
      <c r="M840" s="8" t="s">
        <v>29</v>
      </c>
      <c r="N840" s="9">
        <v>110687.6</v>
      </c>
      <c r="O840" s="8" t="s">
        <v>30</v>
      </c>
      <c r="P840" t="str">
        <f>TEXT(Table1[[#This Row],[Transaction_Date]],"mmm")</f>
        <v>May</v>
      </c>
      <c r="Q840" s="11">
        <v>45803</v>
      </c>
      <c r="R840" s="8" t="s">
        <v>1983</v>
      </c>
      <c r="S840" s="8" t="s">
        <v>32</v>
      </c>
      <c r="T840" s="9">
        <v>1681.42</v>
      </c>
      <c r="U840" t="s">
        <v>77</v>
      </c>
      <c r="V840" s="8" t="s">
        <v>62</v>
      </c>
      <c r="W840"/>
      <c r="X840"/>
    </row>
    <row r="841" spans="1:24" hidden="1" x14ac:dyDescent="0.3">
      <c r="A841" t="s">
        <v>1984</v>
      </c>
      <c r="B841" t="s">
        <v>276</v>
      </c>
      <c r="C841">
        <v>28</v>
      </c>
      <c r="D841" t="s">
        <v>92</v>
      </c>
      <c r="E841" t="s">
        <v>93</v>
      </c>
      <c r="F841" t="s">
        <v>92</v>
      </c>
      <c r="G841" t="s">
        <v>51</v>
      </c>
      <c r="H841" s="8" t="s">
        <v>67</v>
      </c>
      <c r="I841" s="9">
        <v>32018.62</v>
      </c>
      <c r="J841" s="9">
        <v>61137.33</v>
      </c>
      <c r="K841" s="8" t="s">
        <v>74</v>
      </c>
      <c r="L841" s="10">
        <v>0</v>
      </c>
      <c r="M841" s="8" t="s">
        <v>75</v>
      </c>
      <c r="N841" s="9">
        <v>0</v>
      </c>
      <c r="O841" s="8" t="s">
        <v>30</v>
      </c>
      <c r="P841" t="str">
        <f>TEXT(Table1[[#This Row],[Transaction_Date]],"mmm")</f>
        <v>Dec</v>
      </c>
      <c r="Q841" s="11">
        <v>46019</v>
      </c>
      <c r="R841" s="8" t="s">
        <v>1985</v>
      </c>
      <c r="S841" s="8" t="s">
        <v>70</v>
      </c>
      <c r="T841" s="9">
        <v>1402.43</v>
      </c>
      <c r="U841" t="s">
        <v>71</v>
      </c>
      <c r="V841" s="8" t="s">
        <v>34</v>
      </c>
      <c r="W841"/>
      <c r="X841"/>
    </row>
    <row r="842" spans="1:24" x14ac:dyDescent="0.3">
      <c r="A842" t="s">
        <v>1986</v>
      </c>
      <c r="B842" t="s">
        <v>409</v>
      </c>
      <c r="C842">
        <v>22</v>
      </c>
      <c r="D842" t="s">
        <v>37</v>
      </c>
      <c r="E842" t="s">
        <v>38</v>
      </c>
      <c r="F842" t="s">
        <v>37</v>
      </c>
      <c r="G842" t="s">
        <v>39</v>
      </c>
      <c r="H842" s="8" t="s">
        <v>27</v>
      </c>
      <c r="I842" s="9">
        <v>46944.75</v>
      </c>
      <c r="J842" s="9">
        <v>29393.42</v>
      </c>
      <c r="K842" s="8" t="s">
        <v>28</v>
      </c>
      <c r="L842" s="10">
        <v>25000</v>
      </c>
      <c r="M842" s="8" t="s">
        <v>29</v>
      </c>
      <c r="N842" s="9">
        <v>23292.94</v>
      </c>
      <c r="O842" s="8" t="s">
        <v>30</v>
      </c>
      <c r="P842" t="str">
        <f>TEXT(Table1[[#This Row],[Transaction_Date]],"mmm")</f>
        <v>Dec</v>
      </c>
      <c r="Q842" s="11">
        <v>46012</v>
      </c>
      <c r="R842" s="8" t="s">
        <v>1987</v>
      </c>
      <c r="S842" s="8" t="s">
        <v>32</v>
      </c>
      <c r="T842" s="9">
        <v>4050.51</v>
      </c>
      <c r="U842" t="s">
        <v>61</v>
      </c>
      <c r="V842" s="8" t="s">
        <v>46</v>
      </c>
      <c r="W842"/>
      <c r="X842"/>
    </row>
    <row r="843" spans="1:24" x14ac:dyDescent="0.3">
      <c r="A843" t="s">
        <v>1988</v>
      </c>
      <c r="B843" t="s">
        <v>294</v>
      </c>
      <c r="C843">
        <v>20</v>
      </c>
      <c r="D843" t="s">
        <v>24</v>
      </c>
      <c r="E843" t="s">
        <v>25</v>
      </c>
      <c r="F843" t="s">
        <v>24</v>
      </c>
      <c r="G843" t="s">
        <v>39</v>
      </c>
      <c r="H843" s="8" t="s">
        <v>40</v>
      </c>
      <c r="I843" s="9">
        <v>81619.37</v>
      </c>
      <c r="J843" s="9">
        <v>20985.26</v>
      </c>
      <c r="K843" s="8" t="s">
        <v>28</v>
      </c>
      <c r="L843" s="10">
        <v>71487.7</v>
      </c>
      <c r="M843" s="8" t="s">
        <v>29</v>
      </c>
      <c r="N843" s="9">
        <v>57306.94</v>
      </c>
      <c r="O843" s="8" t="s">
        <v>228</v>
      </c>
      <c r="P843" t="str">
        <f>TEXT(Table1[[#This Row],[Transaction_Date]],"mmm")</f>
        <v>Nov</v>
      </c>
      <c r="Q843" s="11">
        <v>45978</v>
      </c>
      <c r="R843" s="8" t="s">
        <v>1989</v>
      </c>
      <c r="S843" s="8" t="s">
        <v>54</v>
      </c>
      <c r="T843" s="9">
        <v>2144.9299999999998</v>
      </c>
      <c r="U843" t="s">
        <v>61</v>
      </c>
      <c r="V843" s="8" t="s">
        <v>62</v>
      </c>
      <c r="W843"/>
      <c r="X843"/>
    </row>
    <row r="844" spans="1:24" hidden="1" x14ac:dyDescent="0.3">
      <c r="A844" t="s">
        <v>1990</v>
      </c>
      <c r="B844" t="s">
        <v>1029</v>
      </c>
      <c r="C844">
        <v>34</v>
      </c>
      <c r="D844" t="s">
        <v>97</v>
      </c>
      <c r="E844" t="s">
        <v>98</v>
      </c>
      <c r="F844" t="s">
        <v>97</v>
      </c>
      <c r="G844" t="s">
        <v>26</v>
      </c>
      <c r="H844" s="8" t="s">
        <v>40</v>
      </c>
      <c r="I844" s="9">
        <v>60777.91</v>
      </c>
      <c r="J844" s="9">
        <v>38156.01</v>
      </c>
      <c r="K844" s="8" t="s">
        <v>74</v>
      </c>
      <c r="L844" s="10">
        <v>0</v>
      </c>
      <c r="M844" s="8" t="s">
        <v>75</v>
      </c>
      <c r="N844" s="9">
        <v>0</v>
      </c>
      <c r="O844" s="8" t="s">
        <v>30</v>
      </c>
      <c r="P844" t="str">
        <f>TEXT(Table1[[#This Row],[Transaction_Date]],"mmm")</f>
        <v>Feb</v>
      </c>
      <c r="Q844" s="11">
        <v>45704</v>
      </c>
      <c r="R844" s="8" t="s">
        <v>1991</v>
      </c>
      <c r="S844" s="8" t="s">
        <v>54</v>
      </c>
      <c r="T844" s="9">
        <v>24210.49</v>
      </c>
      <c r="U844" t="s">
        <v>475</v>
      </c>
      <c r="V844" s="8" t="s">
        <v>46</v>
      </c>
      <c r="W844"/>
      <c r="X844"/>
    </row>
    <row r="845" spans="1:24" hidden="1" x14ac:dyDescent="0.3">
      <c r="A845" t="s">
        <v>1992</v>
      </c>
      <c r="B845" t="s">
        <v>265</v>
      </c>
      <c r="C845">
        <v>44</v>
      </c>
      <c r="D845" t="s">
        <v>57</v>
      </c>
      <c r="E845" t="s">
        <v>58</v>
      </c>
      <c r="F845" t="s">
        <v>57</v>
      </c>
      <c r="G845" t="s">
        <v>51</v>
      </c>
      <c r="H845" s="8" t="s">
        <v>51</v>
      </c>
      <c r="I845" s="9">
        <v>70233.509999999995</v>
      </c>
      <c r="J845" s="9">
        <v>15151.13</v>
      </c>
      <c r="K845" s="8" t="s">
        <v>28</v>
      </c>
      <c r="L845" s="10">
        <v>25000</v>
      </c>
      <c r="M845" s="8" t="s">
        <v>29</v>
      </c>
      <c r="N845" s="9">
        <v>22899.99</v>
      </c>
      <c r="O845" s="8" t="s">
        <v>30</v>
      </c>
      <c r="P845" t="str">
        <f>TEXT(Table1[[#This Row],[Transaction_Date]],"mmm")</f>
        <v>Sep</v>
      </c>
      <c r="Q845" s="11">
        <v>45907</v>
      </c>
      <c r="R845" s="8" t="s">
        <v>1993</v>
      </c>
      <c r="S845" s="8" t="s">
        <v>70</v>
      </c>
      <c r="T845" s="9">
        <v>243.95</v>
      </c>
      <c r="U845" t="s">
        <v>45</v>
      </c>
      <c r="V845" s="8" t="s">
        <v>62</v>
      </c>
      <c r="W845"/>
      <c r="X845"/>
    </row>
    <row r="846" spans="1:24" x14ac:dyDescent="0.3">
      <c r="A846" t="s">
        <v>1994</v>
      </c>
      <c r="B846" t="s">
        <v>246</v>
      </c>
      <c r="C846">
        <v>30</v>
      </c>
      <c r="D846" t="s">
        <v>37</v>
      </c>
      <c r="E846" t="s">
        <v>38</v>
      </c>
      <c r="F846" t="s">
        <v>37</v>
      </c>
      <c r="G846" t="s">
        <v>39</v>
      </c>
      <c r="H846" s="8" t="s">
        <v>40</v>
      </c>
      <c r="I846" s="9">
        <v>52390.6</v>
      </c>
      <c r="J846" s="9">
        <v>5920.47</v>
      </c>
      <c r="K846" s="8" t="s">
        <v>68</v>
      </c>
      <c r="L846" s="10">
        <v>25618.89</v>
      </c>
      <c r="M846" s="8" t="s">
        <v>29</v>
      </c>
      <c r="N846" s="9">
        <v>15566.48</v>
      </c>
      <c r="O846" s="8" t="s">
        <v>30</v>
      </c>
      <c r="P846" t="str">
        <f>TEXT(Table1[[#This Row],[Transaction_Date]],"mmm")</f>
        <v>Sep</v>
      </c>
      <c r="Q846" s="11">
        <v>45902</v>
      </c>
      <c r="R846" s="8" t="s">
        <v>1995</v>
      </c>
      <c r="S846" s="8" t="s">
        <v>32</v>
      </c>
      <c r="T846" s="9">
        <v>5077.6899999999996</v>
      </c>
      <c r="U846" t="s">
        <v>33</v>
      </c>
      <c r="V846" s="8" t="s">
        <v>46</v>
      </c>
      <c r="W846"/>
      <c r="X846"/>
    </row>
    <row r="847" spans="1:24" hidden="1" x14ac:dyDescent="0.3">
      <c r="A847" t="s">
        <v>1996</v>
      </c>
      <c r="B847" t="s">
        <v>168</v>
      </c>
      <c r="C847">
        <v>38</v>
      </c>
      <c r="D847" t="s">
        <v>65</v>
      </c>
      <c r="E847" t="s">
        <v>66</v>
      </c>
      <c r="F847" t="s">
        <v>65</v>
      </c>
      <c r="G847" t="s">
        <v>80</v>
      </c>
      <c r="H847" s="8" t="s">
        <v>51</v>
      </c>
      <c r="I847" s="9">
        <v>66921.64</v>
      </c>
      <c r="J847" s="9">
        <v>17050.830000000002</v>
      </c>
      <c r="K847" s="8" t="s">
        <v>28</v>
      </c>
      <c r="L847" s="10">
        <v>116749.58</v>
      </c>
      <c r="M847" s="8" t="s">
        <v>29</v>
      </c>
      <c r="N847" s="9">
        <v>49382.21</v>
      </c>
      <c r="O847" s="8" t="s">
        <v>30</v>
      </c>
      <c r="P847" t="str">
        <f>TEXT(Table1[[#This Row],[Transaction_Date]],"mmm")</f>
        <v>Feb</v>
      </c>
      <c r="Q847" s="11">
        <v>45695</v>
      </c>
      <c r="R847" s="8" t="s">
        <v>1997</v>
      </c>
      <c r="S847" s="8" t="s">
        <v>44</v>
      </c>
      <c r="T847" s="9">
        <v>6030.43</v>
      </c>
      <c r="U847" t="s">
        <v>33</v>
      </c>
      <c r="V847" s="8" t="s">
        <v>46</v>
      </c>
      <c r="W847"/>
      <c r="X847"/>
    </row>
    <row r="848" spans="1:24" hidden="1" x14ac:dyDescent="0.3">
      <c r="A848" t="s">
        <v>1998</v>
      </c>
      <c r="B848" t="s">
        <v>568</v>
      </c>
      <c r="C848">
        <v>52</v>
      </c>
      <c r="D848" t="s">
        <v>57</v>
      </c>
      <c r="E848" t="s">
        <v>58</v>
      </c>
      <c r="F848" t="s">
        <v>57</v>
      </c>
      <c r="G848" t="s">
        <v>51</v>
      </c>
      <c r="H848" s="8" t="s">
        <v>40</v>
      </c>
      <c r="I848" s="9">
        <v>15967.87</v>
      </c>
      <c r="J848" s="9">
        <v>24623.81</v>
      </c>
      <c r="K848" s="8" t="s">
        <v>74</v>
      </c>
      <c r="L848" s="10">
        <v>0</v>
      </c>
      <c r="M848" s="8" t="s">
        <v>75</v>
      </c>
      <c r="N848" s="9">
        <v>0</v>
      </c>
      <c r="O848" s="8" t="s">
        <v>30</v>
      </c>
      <c r="P848" t="str">
        <f>TEXT(Table1[[#This Row],[Transaction_Date]],"mmm")</f>
        <v>Oct</v>
      </c>
      <c r="Q848" s="11">
        <v>45951</v>
      </c>
      <c r="R848" s="8" t="s">
        <v>1999</v>
      </c>
      <c r="S848" s="8" t="s">
        <v>54</v>
      </c>
      <c r="T848" s="9">
        <v>2223.65</v>
      </c>
      <c r="U848" t="s">
        <v>77</v>
      </c>
      <c r="V848" s="8" t="s">
        <v>62</v>
      </c>
      <c r="W848"/>
      <c r="X848"/>
    </row>
    <row r="849" spans="1:24" hidden="1" x14ac:dyDescent="0.3">
      <c r="A849" t="s">
        <v>2000</v>
      </c>
      <c r="B849" t="s">
        <v>643</v>
      </c>
      <c r="C849">
        <v>43</v>
      </c>
      <c r="D849" t="s">
        <v>49</v>
      </c>
      <c r="E849" t="s">
        <v>50</v>
      </c>
      <c r="F849" t="s">
        <v>49</v>
      </c>
      <c r="G849" t="s">
        <v>26</v>
      </c>
      <c r="H849" s="8" t="s">
        <v>40</v>
      </c>
      <c r="I849" s="9">
        <v>55406.78</v>
      </c>
      <c r="J849" s="9">
        <v>14256.76</v>
      </c>
      <c r="K849" s="8" t="s">
        <v>52</v>
      </c>
      <c r="L849" s="10">
        <v>160254.13</v>
      </c>
      <c r="M849" s="8" t="s">
        <v>42</v>
      </c>
      <c r="N849" s="9">
        <v>0</v>
      </c>
      <c r="O849" s="8" t="s">
        <v>30</v>
      </c>
      <c r="P849" t="str">
        <f>TEXT(Table1[[#This Row],[Transaction_Date]],"mmm")</f>
        <v>Feb</v>
      </c>
      <c r="Q849" s="11">
        <v>45709</v>
      </c>
      <c r="R849" s="8" t="s">
        <v>2001</v>
      </c>
      <c r="S849" s="8" t="s">
        <v>54</v>
      </c>
      <c r="T849" s="9">
        <v>8580.36</v>
      </c>
      <c r="U849" t="s">
        <v>45</v>
      </c>
      <c r="V849" s="8" t="s">
        <v>62</v>
      </c>
      <c r="W849"/>
      <c r="X849"/>
    </row>
    <row r="850" spans="1:24" hidden="1" x14ac:dyDescent="0.3">
      <c r="A850" t="s">
        <v>2002</v>
      </c>
      <c r="B850" t="s">
        <v>379</v>
      </c>
      <c r="C850">
        <v>41</v>
      </c>
      <c r="D850" t="s">
        <v>92</v>
      </c>
      <c r="E850" t="s">
        <v>93</v>
      </c>
      <c r="F850" t="s">
        <v>92</v>
      </c>
      <c r="G850" t="s">
        <v>26</v>
      </c>
      <c r="H850" s="8" t="s">
        <v>27</v>
      </c>
      <c r="I850" s="9">
        <v>46482.68</v>
      </c>
      <c r="J850" s="9">
        <v>5208.33</v>
      </c>
      <c r="K850" s="8" t="s">
        <v>59</v>
      </c>
      <c r="L850" s="10">
        <v>122366.57</v>
      </c>
      <c r="M850" s="8" t="s">
        <v>29</v>
      </c>
      <c r="N850" s="9">
        <v>63652.22</v>
      </c>
      <c r="O850" s="8" t="s">
        <v>228</v>
      </c>
      <c r="P850" t="str">
        <f>TEXT(Table1[[#This Row],[Transaction_Date]],"mmm")</f>
        <v>May</v>
      </c>
      <c r="Q850" s="11">
        <v>45795</v>
      </c>
      <c r="R850" s="8" t="s">
        <v>2003</v>
      </c>
      <c r="S850" s="8" t="s">
        <v>32</v>
      </c>
      <c r="T850" s="9">
        <v>3316.12</v>
      </c>
      <c r="U850" t="s">
        <v>45</v>
      </c>
      <c r="V850" s="8" t="s">
        <v>62</v>
      </c>
      <c r="W850"/>
      <c r="X850"/>
    </row>
    <row r="851" spans="1:24" x14ac:dyDescent="0.3">
      <c r="A851" t="s">
        <v>2004</v>
      </c>
      <c r="B851" t="s">
        <v>1131</v>
      </c>
      <c r="C851">
        <v>57</v>
      </c>
      <c r="D851" t="s">
        <v>57</v>
      </c>
      <c r="E851" t="s">
        <v>58</v>
      </c>
      <c r="F851" t="s">
        <v>57</v>
      </c>
      <c r="G851" t="s">
        <v>39</v>
      </c>
      <c r="H851" s="8" t="s">
        <v>40</v>
      </c>
      <c r="I851" s="9">
        <v>64860.09</v>
      </c>
      <c r="J851" s="9">
        <v>14364.87</v>
      </c>
      <c r="K851" s="8" t="s">
        <v>41</v>
      </c>
      <c r="L851" s="10">
        <v>35387.21</v>
      </c>
      <c r="M851" s="8" t="s">
        <v>29</v>
      </c>
      <c r="N851" s="9">
        <v>18569.57</v>
      </c>
      <c r="O851" s="8" t="s">
        <v>30</v>
      </c>
      <c r="P851" t="str">
        <f>TEXT(Table1[[#This Row],[Transaction_Date]],"mmm")</f>
        <v>May</v>
      </c>
      <c r="Q851" s="11">
        <v>45802</v>
      </c>
      <c r="R851" s="8" t="s">
        <v>2005</v>
      </c>
      <c r="S851" s="8" t="s">
        <v>70</v>
      </c>
      <c r="T851" s="9">
        <v>2121.04</v>
      </c>
      <c r="U851" t="s">
        <v>33</v>
      </c>
      <c r="V851" s="8" t="s">
        <v>46</v>
      </c>
      <c r="W851"/>
      <c r="X851"/>
    </row>
    <row r="852" spans="1:24" x14ac:dyDescent="0.3">
      <c r="A852" t="s">
        <v>2006</v>
      </c>
      <c r="B852" t="s">
        <v>1009</v>
      </c>
      <c r="C852">
        <v>35</v>
      </c>
      <c r="D852" t="s">
        <v>97</v>
      </c>
      <c r="E852" t="s">
        <v>98</v>
      </c>
      <c r="F852" t="s">
        <v>97</v>
      </c>
      <c r="G852" t="s">
        <v>39</v>
      </c>
      <c r="H852" s="8" t="s">
        <v>51</v>
      </c>
      <c r="I852" s="9">
        <v>15976.78</v>
      </c>
      <c r="J852" s="9">
        <v>25533.13</v>
      </c>
      <c r="K852" s="8" t="s">
        <v>59</v>
      </c>
      <c r="L852" s="10">
        <v>131532.59</v>
      </c>
      <c r="M852" s="8" t="s">
        <v>42</v>
      </c>
      <c r="N852" s="9">
        <v>0</v>
      </c>
      <c r="O852" s="8" t="s">
        <v>30</v>
      </c>
      <c r="P852" t="str">
        <f>TEXT(Table1[[#This Row],[Transaction_Date]],"mmm")</f>
        <v>Jan</v>
      </c>
      <c r="Q852" s="11">
        <v>45672</v>
      </c>
      <c r="R852" s="8" t="s">
        <v>2007</v>
      </c>
      <c r="S852" s="8" t="s">
        <v>54</v>
      </c>
      <c r="T852" s="9">
        <v>3435.45</v>
      </c>
      <c r="U852" t="s">
        <v>71</v>
      </c>
      <c r="V852" s="8" t="s">
        <v>62</v>
      </c>
      <c r="W852"/>
      <c r="X852"/>
    </row>
    <row r="853" spans="1:24" hidden="1" x14ac:dyDescent="0.3">
      <c r="A853" t="s">
        <v>2008</v>
      </c>
      <c r="B853" t="s">
        <v>1646</v>
      </c>
      <c r="C853">
        <v>28</v>
      </c>
      <c r="D853" t="s">
        <v>24</v>
      </c>
      <c r="E853" t="s">
        <v>25</v>
      </c>
      <c r="F853" t="s">
        <v>24</v>
      </c>
      <c r="G853" t="s">
        <v>80</v>
      </c>
      <c r="H853" s="8" t="s">
        <v>51</v>
      </c>
      <c r="I853" s="9">
        <v>33617.9</v>
      </c>
      <c r="J853" s="9">
        <v>61499.09</v>
      </c>
      <c r="K853" s="8" t="s">
        <v>68</v>
      </c>
      <c r="L853" s="10">
        <v>92047.3</v>
      </c>
      <c r="M853" s="8" t="s">
        <v>29</v>
      </c>
      <c r="N853" s="9">
        <v>86507.89</v>
      </c>
      <c r="O853" s="8" t="s">
        <v>30</v>
      </c>
      <c r="P853" t="str">
        <f>TEXT(Table1[[#This Row],[Transaction_Date]],"mmm")</f>
        <v>Aug</v>
      </c>
      <c r="Q853" s="11">
        <v>45873</v>
      </c>
      <c r="R853" s="8" t="s">
        <v>2009</v>
      </c>
      <c r="S853" s="8" t="s">
        <v>32</v>
      </c>
      <c r="T853" s="9">
        <v>1643.05</v>
      </c>
      <c r="U853" t="s">
        <v>45</v>
      </c>
      <c r="V853" s="8" t="s">
        <v>62</v>
      </c>
      <c r="W853"/>
      <c r="X853"/>
    </row>
    <row r="854" spans="1:24" x14ac:dyDescent="0.3">
      <c r="A854" t="s">
        <v>2010</v>
      </c>
      <c r="B854" t="s">
        <v>1785</v>
      </c>
      <c r="C854">
        <v>25</v>
      </c>
      <c r="D854" t="s">
        <v>57</v>
      </c>
      <c r="E854" t="s">
        <v>58</v>
      </c>
      <c r="F854" t="s">
        <v>57</v>
      </c>
      <c r="G854" t="s">
        <v>39</v>
      </c>
      <c r="H854" s="8" t="s">
        <v>51</v>
      </c>
      <c r="I854" s="9">
        <v>68467.78</v>
      </c>
      <c r="J854" s="9">
        <v>8348.7000000000007</v>
      </c>
      <c r="K854" s="8" t="s">
        <v>74</v>
      </c>
      <c r="L854" s="10">
        <v>0</v>
      </c>
      <c r="M854" s="8" t="s">
        <v>75</v>
      </c>
      <c r="N854" s="9">
        <v>0</v>
      </c>
      <c r="O854" s="8" t="s">
        <v>30</v>
      </c>
      <c r="P854" t="str">
        <f>TEXT(Table1[[#This Row],[Transaction_Date]],"mmm")</f>
        <v>Mar</v>
      </c>
      <c r="Q854" s="11">
        <v>45735</v>
      </c>
      <c r="R854" s="8" t="s">
        <v>2011</v>
      </c>
      <c r="S854" s="8" t="s">
        <v>32</v>
      </c>
      <c r="T854" s="9">
        <v>10167.74</v>
      </c>
      <c r="U854" t="s">
        <v>45</v>
      </c>
      <c r="V854" s="8" t="s">
        <v>62</v>
      </c>
      <c r="W854"/>
      <c r="X854"/>
    </row>
    <row r="855" spans="1:24" x14ac:dyDescent="0.3">
      <c r="A855" t="s">
        <v>2012</v>
      </c>
      <c r="B855" t="s">
        <v>600</v>
      </c>
      <c r="C855">
        <v>42</v>
      </c>
      <c r="D855" t="s">
        <v>92</v>
      </c>
      <c r="E855" t="s">
        <v>93</v>
      </c>
      <c r="F855" t="s">
        <v>92</v>
      </c>
      <c r="G855" t="s">
        <v>39</v>
      </c>
      <c r="H855" s="8" t="s">
        <v>51</v>
      </c>
      <c r="I855" s="9">
        <v>71541</v>
      </c>
      <c r="J855" s="9">
        <v>20410.79</v>
      </c>
      <c r="K855" s="8" t="s">
        <v>74</v>
      </c>
      <c r="L855" s="10">
        <v>0</v>
      </c>
      <c r="M855" s="8" t="s">
        <v>75</v>
      </c>
      <c r="N855" s="9">
        <v>0</v>
      </c>
      <c r="O855" s="8" t="s">
        <v>30</v>
      </c>
      <c r="P855" t="str">
        <f>TEXT(Table1[[#This Row],[Transaction_Date]],"mmm")</f>
        <v>Apr</v>
      </c>
      <c r="Q855" s="11">
        <v>45777</v>
      </c>
      <c r="R855" s="8" t="s">
        <v>2013</v>
      </c>
      <c r="S855" s="8" t="s">
        <v>44</v>
      </c>
      <c r="T855" s="9">
        <v>2784.81</v>
      </c>
      <c r="U855" t="s">
        <v>77</v>
      </c>
      <c r="V855" s="8" t="s">
        <v>46</v>
      </c>
      <c r="W855"/>
      <c r="X855"/>
    </row>
    <row r="856" spans="1:24" x14ac:dyDescent="0.3">
      <c r="A856" t="s">
        <v>2014</v>
      </c>
      <c r="B856" t="s">
        <v>659</v>
      </c>
      <c r="C856">
        <v>27</v>
      </c>
      <c r="D856" t="s">
        <v>49</v>
      </c>
      <c r="E856" t="s">
        <v>50</v>
      </c>
      <c r="F856" t="s">
        <v>49</v>
      </c>
      <c r="G856" t="s">
        <v>39</v>
      </c>
      <c r="H856" s="8" t="s">
        <v>40</v>
      </c>
      <c r="I856" s="9">
        <v>57793.32</v>
      </c>
      <c r="J856" s="9">
        <v>5163.07</v>
      </c>
      <c r="K856" s="8" t="s">
        <v>52</v>
      </c>
      <c r="L856" s="10">
        <v>25000</v>
      </c>
      <c r="M856" s="8" t="s">
        <v>29</v>
      </c>
      <c r="N856" s="9">
        <v>14376.73</v>
      </c>
      <c r="O856" s="8" t="s">
        <v>30</v>
      </c>
      <c r="P856" t="str">
        <f>TEXT(Table1[[#This Row],[Transaction_Date]],"mmm")</f>
        <v>May</v>
      </c>
      <c r="Q856" s="11">
        <v>45794</v>
      </c>
      <c r="R856" s="8" t="s">
        <v>2015</v>
      </c>
      <c r="S856" s="8" t="s">
        <v>44</v>
      </c>
      <c r="T856" s="9">
        <v>2256.16</v>
      </c>
      <c r="U856" t="s">
        <v>77</v>
      </c>
      <c r="V856" s="8" t="s">
        <v>62</v>
      </c>
      <c r="W856"/>
      <c r="X856"/>
    </row>
    <row r="857" spans="1:24" hidden="1" x14ac:dyDescent="0.3">
      <c r="A857" t="s">
        <v>2016</v>
      </c>
      <c r="B857" t="s">
        <v>294</v>
      </c>
      <c r="C857">
        <v>47</v>
      </c>
      <c r="D857" t="s">
        <v>37</v>
      </c>
      <c r="E857" t="s">
        <v>38</v>
      </c>
      <c r="F857" t="s">
        <v>37</v>
      </c>
      <c r="G857" t="s">
        <v>26</v>
      </c>
      <c r="H857" s="8" t="s">
        <v>40</v>
      </c>
      <c r="I857" s="9">
        <v>71290.77</v>
      </c>
      <c r="J857" s="9">
        <v>5464.07</v>
      </c>
      <c r="K857" s="8" t="s">
        <v>52</v>
      </c>
      <c r="L857" s="10">
        <v>25000</v>
      </c>
      <c r="M857" s="8" t="s">
        <v>42</v>
      </c>
      <c r="N857" s="9">
        <v>0</v>
      </c>
      <c r="O857" s="8" t="s">
        <v>30</v>
      </c>
      <c r="P857" t="str">
        <f>TEXT(Table1[[#This Row],[Transaction_Date]],"mmm")</f>
        <v>Mar</v>
      </c>
      <c r="Q857" s="11">
        <v>45736</v>
      </c>
      <c r="R857" s="8" t="s">
        <v>2017</v>
      </c>
      <c r="S857" s="8" t="s">
        <v>70</v>
      </c>
      <c r="T857" s="9">
        <v>2156.69</v>
      </c>
      <c r="U857" t="s">
        <v>61</v>
      </c>
      <c r="V857" s="8" t="s">
        <v>46</v>
      </c>
      <c r="W857"/>
      <c r="X857"/>
    </row>
    <row r="858" spans="1:24" x14ac:dyDescent="0.3">
      <c r="A858" t="s">
        <v>2018</v>
      </c>
      <c r="B858" t="s">
        <v>854</v>
      </c>
      <c r="C858">
        <v>39</v>
      </c>
      <c r="D858" t="s">
        <v>92</v>
      </c>
      <c r="E858" t="s">
        <v>93</v>
      </c>
      <c r="F858" t="s">
        <v>92</v>
      </c>
      <c r="G858" t="s">
        <v>39</v>
      </c>
      <c r="H858" s="8" t="s">
        <v>67</v>
      </c>
      <c r="I858" s="9">
        <v>17652.919999999998</v>
      </c>
      <c r="J858" s="9">
        <v>22777.7</v>
      </c>
      <c r="K858" s="8" t="s">
        <v>74</v>
      </c>
      <c r="L858" s="10">
        <v>0</v>
      </c>
      <c r="M858" s="8" t="s">
        <v>75</v>
      </c>
      <c r="N858" s="9">
        <v>0</v>
      </c>
      <c r="O858" s="8" t="s">
        <v>30</v>
      </c>
      <c r="P858" t="str">
        <f>TEXT(Table1[[#This Row],[Transaction_Date]],"mmm")</f>
        <v>Jan</v>
      </c>
      <c r="Q858" s="11">
        <v>45665</v>
      </c>
      <c r="R858" s="8" t="s">
        <v>2019</v>
      </c>
      <c r="S858" s="8" t="s">
        <v>32</v>
      </c>
      <c r="T858" s="9">
        <v>2591.59</v>
      </c>
      <c r="U858" t="s">
        <v>71</v>
      </c>
      <c r="V858" s="8" t="s">
        <v>62</v>
      </c>
      <c r="W858"/>
      <c r="X858"/>
    </row>
    <row r="859" spans="1:24" x14ac:dyDescent="0.3">
      <c r="A859" t="s">
        <v>2020</v>
      </c>
      <c r="B859" t="s">
        <v>711</v>
      </c>
      <c r="C859">
        <v>53</v>
      </c>
      <c r="D859" t="s">
        <v>37</v>
      </c>
      <c r="E859" t="s">
        <v>38</v>
      </c>
      <c r="F859" t="s">
        <v>37</v>
      </c>
      <c r="G859" t="s">
        <v>39</v>
      </c>
      <c r="H859" s="8" t="s">
        <v>51</v>
      </c>
      <c r="I859" s="9">
        <v>35897.82</v>
      </c>
      <c r="J859" s="9">
        <v>10598.87</v>
      </c>
      <c r="K859" s="8" t="s">
        <v>74</v>
      </c>
      <c r="L859" s="10">
        <v>0</v>
      </c>
      <c r="M859" s="8" t="s">
        <v>75</v>
      </c>
      <c r="N859" s="9">
        <v>0</v>
      </c>
      <c r="O859" s="8" t="s">
        <v>30</v>
      </c>
      <c r="P859" t="str">
        <f>TEXT(Table1[[#This Row],[Transaction_Date]],"mmm")</f>
        <v>Dec</v>
      </c>
      <c r="Q859" s="11">
        <v>46014</v>
      </c>
      <c r="R859" s="8" t="s">
        <v>2021</v>
      </c>
      <c r="S859" s="8" t="s">
        <v>44</v>
      </c>
      <c r="T859" s="9">
        <v>3589.53</v>
      </c>
      <c r="U859" t="s">
        <v>33</v>
      </c>
      <c r="V859" s="8" t="s">
        <v>46</v>
      </c>
      <c r="W859"/>
      <c r="X859"/>
    </row>
    <row r="860" spans="1:24" hidden="1" x14ac:dyDescent="0.3">
      <c r="A860" t="s">
        <v>2022</v>
      </c>
      <c r="B860" t="s">
        <v>442</v>
      </c>
      <c r="C860">
        <v>47</v>
      </c>
      <c r="D860" t="s">
        <v>92</v>
      </c>
      <c r="E860" t="s">
        <v>93</v>
      </c>
      <c r="F860" t="s">
        <v>92</v>
      </c>
      <c r="G860" t="s">
        <v>26</v>
      </c>
      <c r="H860" s="8" t="s">
        <v>51</v>
      </c>
      <c r="I860" s="9">
        <v>103650.88</v>
      </c>
      <c r="J860" s="9">
        <v>13034.41</v>
      </c>
      <c r="K860" s="8" t="s">
        <v>59</v>
      </c>
      <c r="L860" s="10">
        <v>118093.79</v>
      </c>
      <c r="M860" s="8" t="s">
        <v>42</v>
      </c>
      <c r="N860" s="9">
        <v>0</v>
      </c>
      <c r="O860" s="8" t="s">
        <v>30</v>
      </c>
      <c r="P860" t="str">
        <f>TEXT(Table1[[#This Row],[Transaction_Date]],"mmm")</f>
        <v>Dec</v>
      </c>
      <c r="Q860" s="11">
        <v>46006</v>
      </c>
      <c r="R860" s="8" t="s">
        <v>2023</v>
      </c>
      <c r="S860" s="8" t="s">
        <v>32</v>
      </c>
      <c r="T860" s="9">
        <v>2429.9899999999998</v>
      </c>
      <c r="U860" t="s">
        <v>33</v>
      </c>
      <c r="V860" s="8" t="s">
        <v>62</v>
      </c>
      <c r="W860"/>
      <c r="X860"/>
    </row>
    <row r="861" spans="1:24" hidden="1" x14ac:dyDescent="0.3">
      <c r="A861" t="s">
        <v>2024</v>
      </c>
      <c r="B861" t="s">
        <v>442</v>
      </c>
      <c r="C861">
        <v>37</v>
      </c>
      <c r="D861" t="s">
        <v>49</v>
      </c>
      <c r="E861" t="s">
        <v>50</v>
      </c>
      <c r="F861" t="s">
        <v>49</v>
      </c>
      <c r="G861" t="s">
        <v>51</v>
      </c>
      <c r="H861" s="8" t="s">
        <v>40</v>
      </c>
      <c r="I861" s="9">
        <v>30512.59</v>
      </c>
      <c r="J861" s="9">
        <v>12513.7</v>
      </c>
      <c r="K861" s="8" t="s">
        <v>68</v>
      </c>
      <c r="L861" s="10">
        <v>82850.91</v>
      </c>
      <c r="M861" s="8" t="s">
        <v>29</v>
      </c>
      <c r="N861" s="9">
        <v>37098.01</v>
      </c>
      <c r="O861" s="8" t="s">
        <v>30</v>
      </c>
      <c r="P861" t="str">
        <f>TEXT(Table1[[#This Row],[Transaction_Date]],"mmm")</f>
        <v>Jun</v>
      </c>
      <c r="Q861" s="11">
        <v>45818</v>
      </c>
      <c r="R861" s="8" t="s">
        <v>2025</v>
      </c>
      <c r="S861" s="8" t="s">
        <v>32</v>
      </c>
      <c r="T861" s="9">
        <v>3086.5</v>
      </c>
      <c r="U861" t="s">
        <v>77</v>
      </c>
      <c r="V861" s="8" t="s">
        <v>62</v>
      </c>
      <c r="W861"/>
      <c r="X861"/>
    </row>
    <row r="862" spans="1:24" x14ac:dyDescent="0.3">
      <c r="A862" t="s">
        <v>2026</v>
      </c>
      <c r="B862" t="s">
        <v>1305</v>
      </c>
      <c r="C862">
        <v>58</v>
      </c>
      <c r="D862" t="s">
        <v>49</v>
      </c>
      <c r="E862" t="s">
        <v>50</v>
      </c>
      <c r="F862" t="s">
        <v>49</v>
      </c>
      <c r="G862" t="s">
        <v>39</v>
      </c>
      <c r="H862" s="8" t="s">
        <v>40</v>
      </c>
      <c r="I862" s="9">
        <v>50200.28</v>
      </c>
      <c r="J862" s="9">
        <v>6136.25</v>
      </c>
      <c r="K862" s="8" t="s">
        <v>28</v>
      </c>
      <c r="L862" s="10">
        <v>155500.69</v>
      </c>
      <c r="M862" s="8" t="s">
        <v>42</v>
      </c>
      <c r="N862" s="9">
        <v>0</v>
      </c>
      <c r="O862" s="8" t="s">
        <v>30</v>
      </c>
      <c r="P862" t="str">
        <f>TEXT(Table1[[#This Row],[Transaction_Date]],"mmm")</f>
        <v>Oct</v>
      </c>
      <c r="Q862" s="11">
        <v>45957</v>
      </c>
      <c r="R862" s="8" t="s">
        <v>2027</v>
      </c>
      <c r="S862" s="8" t="s">
        <v>44</v>
      </c>
      <c r="T862" s="9">
        <v>713.49</v>
      </c>
      <c r="U862" t="s">
        <v>61</v>
      </c>
      <c r="V862" s="8" t="s">
        <v>62</v>
      </c>
      <c r="W862"/>
      <c r="X862"/>
    </row>
    <row r="863" spans="1:24" hidden="1" x14ac:dyDescent="0.3">
      <c r="A863" t="s">
        <v>2028</v>
      </c>
      <c r="B863" t="s">
        <v>592</v>
      </c>
      <c r="C863">
        <v>28</v>
      </c>
      <c r="D863" t="s">
        <v>37</v>
      </c>
      <c r="E863" t="s">
        <v>38</v>
      </c>
      <c r="F863" t="s">
        <v>37</v>
      </c>
      <c r="G863" t="s">
        <v>51</v>
      </c>
      <c r="H863" s="8" t="s">
        <v>67</v>
      </c>
      <c r="I863" s="9">
        <v>43856.75</v>
      </c>
      <c r="J863" s="9">
        <v>22879.89</v>
      </c>
      <c r="K863" s="8" t="s">
        <v>68</v>
      </c>
      <c r="L863" s="10">
        <v>29885.95</v>
      </c>
      <c r="M863" s="8" t="s">
        <v>29</v>
      </c>
      <c r="N863" s="9">
        <v>21996.29</v>
      </c>
      <c r="O863" s="8" t="s">
        <v>30</v>
      </c>
      <c r="P863" t="str">
        <f>TEXT(Table1[[#This Row],[Transaction_Date]],"mmm")</f>
        <v>Sep</v>
      </c>
      <c r="Q863" s="11">
        <v>45923</v>
      </c>
      <c r="R863" s="8" t="s">
        <v>2029</v>
      </c>
      <c r="S863" s="8" t="s">
        <v>44</v>
      </c>
      <c r="T863" s="9">
        <v>1278.83</v>
      </c>
      <c r="U863" t="s">
        <v>77</v>
      </c>
      <c r="V863" s="8" t="s">
        <v>46</v>
      </c>
      <c r="W863"/>
      <c r="X863"/>
    </row>
    <row r="864" spans="1:24" x14ac:dyDescent="0.3">
      <c r="A864" t="s">
        <v>2030</v>
      </c>
      <c r="B864" t="s">
        <v>649</v>
      </c>
      <c r="C864">
        <v>48</v>
      </c>
      <c r="D864" t="s">
        <v>57</v>
      </c>
      <c r="E864" t="s">
        <v>58</v>
      </c>
      <c r="F864" t="s">
        <v>57</v>
      </c>
      <c r="G864" t="s">
        <v>39</v>
      </c>
      <c r="H864" s="8" t="s">
        <v>40</v>
      </c>
      <c r="I864" s="9">
        <v>40217.82</v>
      </c>
      <c r="J864" s="9">
        <v>60337.66</v>
      </c>
      <c r="K864" s="8" t="s">
        <v>74</v>
      </c>
      <c r="L864" s="10">
        <v>0</v>
      </c>
      <c r="M864" s="8" t="s">
        <v>75</v>
      </c>
      <c r="N864" s="9">
        <v>0</v>
      </c>
      <c r="O864" s="8" t="s">
        <v>30</v>
      </c>
      <c r="P864" t="str">
        <f>TEXT(Table1[[#This Row],[Transaction_Date]],"mmm")</f>
        <v>Jul</v>
      </c>
      <c r="Q864" s="11">
        <v>45847</v>
      </c>
      <c r="R864" s="8" t="s">
        <v>2031</v>
      </c>
      <c r="S864" s="8" t="s">
        <v>44</v>
      </c>
      <c r="T864" s="9">
        <v>10697.61</v>
      </c>
      <c r="U864" t="s">
        <v>61</v>
      </c>
      <c r="V864" s="8" t="s">
        <v>62</v>
      </c>
      <c r="W864"/>
      <c r="X864"/>
    </row>
    <row r="865" spans="1:24" hidden="1" x14ac:dyDescent="0.3">
      <c r="A865" t="s">
        <v>2032</v>
      </c>
      <c r="B865" t="s">
        <v>1050</v>
      </c>
      <c r="C865">
        <v>29</v>
      </c>
      <c r="D865" t="s">
        <v>65</v>
      </c>
      <c r="E865" t="s">
        <v>66</v>
      </c>
      <c r="F865" t="s">
        <v>65</v>
      </c>
      <c r="G865" t="s">
        <v>80</v>
      </c>
      <c r="H865" s="8" t="s">
        <v>51</v>
      </c>
      <c r="I865" s="9">
        <v>52289.08</v>
      </c>
      <c r="J865" s="9">
        <v>165268.28</v>
      </c>
      <c r="K865" s="8" t="s">
        <v>41</v>
      </c>
      <c r="L865" s="10">
        <v>68057.429999999993</v>
      </c>
      <c r="M865" s="8" t="s">
        <v>29</v>
      </c>
      <c r="N865" s="9">
        <v>40448.879999999997</v>
      </c>
      <c r="O865" s="8" t="s">
        <v>30</v>
      </c>
      <c r="P865" t="str">
        <f>TEXT(Table1[[#This Row],[Transaction_Date]],"mmm")</f>
        <v>Aug</v>
      </c>
      <c r="Q865" s="11">
        <v>45900</v>
      </c>
      <c r="R865" s="8" t="s">
        <v>2033</v>
      </c>
      <c r="S865" s="8" t="s">
        <v>54</v>
      </c>
      <c r="T865" s="9">
        <v>2906.36</v>
      </c>
      <c r="U865" t="s">
        <v>77</v>
      </c>
      <c r="V865" s="8" t="s">
        <v>62</v>
      </c>
      <c r="W865"/>
      <c r="X865"/>
    </row>
    <row r="866" spans="1:24" x14ac:dyDescent="0.3">
      <c r="A866" t="s">
        <v>2034</v>
      </c>
      <c r="B866" t="s">
        <v>265</v>
      </c>
      <c r="C866">
        <v>52</v>
      </c>
      <c r="D866" t="s">
        <v>57</v>
      </c>
      <c r="E866" t="s">
        <v>58</v>
      </c>
      <c r="F866" t="s">
        <v>57</v>
      </c>
      <c r="G866" t="s">
        <v>39</v>
      </c>
      <c r="H866" s="8" t="s">
        <v>40</v>
      </c>
      <c r="I866" s="9">
        <v>56699.67</v>
      </c>
      <c r="J866" s="9">
        <v>26492.48</v>
      </c>
      <c r="K866" s="8" t="s">
        <v>28</v>
      </c>
      <c r="L866" s="10">
        <v>25000</v>
      </c>
      <c r="M866" s="8" t="s">
        <v>29</v>
      </c>
      <c r="N866" s="9">
        <v>21430.71</v>
      </c>
      <c r="O866" s="8" t="s">
        <v>30</v>
      </c>
      <c r="P866" t="str">
        <f>TEXT(Table1[[#This Row],[Transaction_Date]],"mmm")</f>
        <v>Nov</v>
      </c>
      <c r="Q866" s="11">
        <v>45979</v>
      </c>
      <c r="R866" s="8" t="s">
        <v>2035</v>
      </c>
      <c r="S866" s="8" t="s">
        <v>32</v>
      </c>
      <c r="T866" s="9">
        <v>949.19</v>
      </c>
      <c r="U866" t="s">
        <v>71</v>
      </c>
      <c r="V866" s="8" t="s">
        <v>34</v>
      </c>
      <c r="W866"/>
      <c r="X866"/>
    </row>
    <row r="867" spans="1:24" hidden="1" x14ac:dyDescent="0.3">
      <c r="A867" t="s">
        <v>2036</v>
      </c>
      <c r="B867" t="s">
        <v>568</v>
      </c>
      <c r="C867">
        <v>40</v>
      </c>
      <c r="D867" t="s">
        <v>57</v>
      </c>
      <c r="E867" t="s">
        <v>58</v>
      </c>
      <c r="F867" t="s">
        <v>57</v>
      </c>
      <c r="G867" t="s">
        <v>80</v>
      </c>
      <c r="H867" s="8" t="s">
        <v>51</v>
      </c>
      <c r="I867" s="9">
        <v>69459.58</v>
      </c>
      <c r="J867" s="9">
        <v>22787.56</v>
      </c>
      <c r="K867" s="8" t="s">
        <v>28</v>
      </c>
      <c r="L867" s="10">
        <v>155275.79</v>
      </c>
      <c r="M867" s="8" t="s">
        <v>42</v>
      </c>
      <c r="N867" s="9">
        <v>0</v>
      </c>
      <c r="O867" s="8" t="s">
        <v>30</v>
      </c>
      <c r="P867" t="str">
        <f>TEXT(Table1[[#This Row],[Transaction_Date]],"mmm")</f>
        <v>Sep</v>
      </c>
      <c r="Q867" s="11">
        <v>45917</v>
      </c>
      <c r="R867" s="8" t="s">
        <v>2037</v>
      </c>
      <c r="S867" s="8" t="s">
        <v>44</v>
      </c>
      <c r="T867" s="9">
        <v>7968.15</v>
      </c>
      <c r="U867" t="s">
        <v>33</v>
      </c>
      <c r="V867" s="8" t="s">
        <v>46</v>
      </c>
      <c r="W867"/>
      <c r="X867"/>
    </row>
    <row r="868" spans="1:24" hidden="1" x14ac:dyDescent="0.3">
      <c r="A868" t="s">
        <v>2038</v>
      </c>
      <c r="B868" t="s">
        <v>200</v>
      </c>
      <c r="C868">
        <v>40</v>
      </c>
      <c r="D868" t="s">
        <v>37</v>
      </c>
      <c r="E868" t="s">
        <v>38</v>
      </c>
      <c r="F868" t="s">
        <v>37</v>
      </c>
      <c r="G868" t="s">
        <v>26</v>
      </c>
      <c r="H868" s="8" t="s">
        <v>40</v>
      </c>
      <c r="I868" s="9">
        <v>85894.96</v>
      </c>
      <c r="J868" s="9">
        <v>34218.01</v>
      </c>
      <c r="K868" s="8" t="s">
        <v>59</v>
      </c>
      <c r="L868" s="10">
        <v>71964.399999999994</v>
      </c>
      <c r="M868" s="8" t="s">
        <v>29</v>
      </c>
      <c r="N868" s="9">
        <v>46380.62</v>
      </c>
      <c r="O868" s="8" t="s">
        <v>30</v>
      </c>
      <c r="P868" t="str">
        <f>TEXT(Table1[[#This Row],[Transaction_Date]],"mmm")</f>
        <v>Jan</v>
      </c>
      <c r="Q868" s="11">
        <v>45676</v>
      </c>
      <c r="R868" s="8" t="s">
        <v>2039</v>
      </c>
      <c r="S868" s="8" t="s">
        <v>54</v>
      </c>
      <c r="T868" s="9">
        <v>2701.93</v>
      </c>
      <c r="U868" t="s">
        <v>45</v>
      </c>
      <c r="V868" s="8" t="s">
        <v>62</v>
      </c>
      <c r="W868"/>
      <c r="X868"/>
    </row>
    <row r="869" spans="1:24" x14ac:dyDescent="0.3">
      <c r="A869" t="s">
        <v>2040</v>
      </c>
      <c r="B869" t="s">
        <v>279</v>
      </c>
      <c r="C869">
        <v>31</v>
      </c>
      <c r="D869" t="s">
        <v>24</v>
      </c>
      <c r="E869" t="s">
        <v>25</v>
      </c>
      <c r="F869" t="s">
        <v>24</v>
      </c>
      <c r="G869" t="s">
        <v>39</v>
      </c>
      <c r="H869" s="8" t="s">
        <v>40</v>
      </c>
      <c r="I869" s="9">
        <v>77762.81</v>
      </c>
      <c r="J869" s="9">
        <v>64499.85</v>
      </c>
      <c r="K869" s="8" t="s">
        <v>74</v>
      </c>
      <c r="L869" s="10">
        <v>0</v>
      </c>
      <c r="M869" s="8" t="s">
        <v>75</v>
      </c>
      <c r="N869" s="9">
        <v>0</v>
      </c>
      <c r="O869" s="8" t="s">
        <v>30</v>
      </c>
      <c r="P869" t="str">
        <f>TEXT(Table1[[#This Row],[Transaction_Date]],"mmm")</f>
        <v>Aug</v>
      </c>
      <c r="Q869" s="11">
        <v>45885</v>
      </c>
      <c r="R869" s="8" t="s">
        <v>2041</v>
      </c>
      <c r="S869" s="8" t="s">
        <v>44</v>
      </c>
      <c r="T869" s="9">
        <v>1166.97</v>
      </c>
      <c r="U869" t="s">
        <v>71</v>
      </c>
      <c r="V869" s="8" t="s">
        <v>62</v>
      </c>
      <c r="W869"/>
      <c r="X869"/>
    </row>
    <row r="870" spans="1:24" x14ac:dyDescent="0.3">
      <c r="A870" t="s">
        <v>2042</v>
      </c>
      <c r="B870" t="s">
        <v>291</v>
      </c>
      <c r="C870">
        <v>39</v>
      </c>
      <c r="D870" t="s">
        <v>24</v>
      </c>
      <c r="E870" t="s">
        <v>25</v>
      </c>
      <c r="F870" t="s">
        <v>24</v>
      </c>
      <c r="G870" t="s">
        <v>39</v>
      </c>
      <c r="H870" s="8" t="s">
        <v>40</v>
      </c>
      <c r="I870" s="9">
        <v>76979.87</v>
      </c>
      <c r="J870" s="9">
        <v>19147.41</v>
      </c>
      <c r="K870" s="8" t="s">
        <v>68</v>
      </c>
      <c r="L870" s="10">
        <v>25000</v>
      </c>
      <c r="M870" s="8" t="s">
        <v>29</v>
      </c>
      <c r="N870" s="9">
        <v>10025.17</v>
      </c>
      <c r="O870" s="8" t="s">
        <v>30</v>
      </c>
      <c r="P870" t="str">
        <f>TEXT(Table1[[#This Row],[Transaction_Date]],"mmm")</f>
        <v>Sep</v>
      </c>
      <c r="Q870" s="11">
        <v>45914</v>
      </c>
      <c r="R870" s="8" t="s">
        <v>2043</v>
      </c>
      <c r="S870" s="8" t="s">
        <v>70</v>
      </c>
      <c r="T870" s="9">
        <v>1462.74</v>
      </c>
      <c r="U870" t="s">
        <v>61</v>
      </c>
      <c r="V870" s="8" t="s">
        <v>62</v>
      </c>
      <c r="W870"/>
      <c r="X870"/>
    </row>
    <row r="871" spans="1:24" x14ac:dyDescent="0.3">
      <c r="A871" t="s">
        <v>2044</v>
      </c>
      <c r="B871" t="s">
        <v>401</v>
      </c>
      <c r="C871">
        <v>44</v>
      </c>
      <c r="D871" t="s">
        <v>84</v>
      </c>
      <c r="E871" t="s">
        <v>85</v>
      </c>
      <c r="F871" t="s">
        <v>84</v>
      </c>
      <c r="G871" t="s">
        <v>39</v>
      </c>
      <c r="H871" s="8" t="s">
        <v>27</v>
      </c>
      <c r="I871" s="9">
        <v>61341.21</v>
      </c>
      <c r="J871" s="9">
        <v>4594.13</v>
      </c>
      <c r="K871" s="8" t="s">
        <v>59</v>
      </c>
      <c r="L871" s="10">
        <v>27218.12</v>
      </c>
      <c r="M871" s="8" t="s">
        <v>29</v>
      </c>
      <c r="N871" s="9">
        <v>6129.72</v>
      </c>
      <c r="O871" s="8" t="s">
        <v>30</v>
      </c>
      <c r="P871" t="str">
        <f>TEXT(Table1[[#This Row],[Transaction_Date]],"mmm")</f>
        <v>Dec</v>
      </c>
      <c r="Q871" s="11">
        <v>45998</v>
      </c>
      <c r="R871" s="8" t="s">
        <v>2045</v>
      </c>
      <c r="S871" s="8" t="s">
        <v>70</v>
      </c>
      <c r="T871" s="9">
        <v>2504.52</v>
      </c>
      <c r="U871" t="s">
        <v>33</v>
      </c>
      <c r="V871" s="8" t="s">
        <v>62</v>
      </c>
      <c r="W871"/>
      <c r="X871"/>
    </row>
    <row r="872" spans="1:24" x14ac:dyDescent="0.3">
      <c r="A872" t="s">
        <v>2046</v>
      </c>
      <c r="B872" t="s">
        <v>859</v>
      </c>
      <c r="C872">
        <v>18</v>
      </c>
      <c r="D872" t="s">
        <v>97</v>
      </c>
      <c r="E872" t="s">
        <v>98</v>
      </c>
      <c r="F872" t="s">
        <v>97</v>
      </c>
      <c r="G872" t="s">
        <v>39</v>
      </c>
      <c r="H872" s="8" t="s">
        <v>67</v>
      </c>
      <c r="I872" s="9">
        <v>38476.589999999997</v>
      </c>
      <c r="J872" s="9">
        <v>25259.8</v>
      </c>
      <c r="K872" s="8" t="s">
        <v>59</v>
      </c>
      <c r="L872" s="10">
        <v>183616.83</v>
      </c>
      <c r="M872" s="8" t="s">
        <v>29</v>
      </c>
      <c r="N872" s="9">
        <v>103088.12</v>
      </c>
      <c r="O872" s="8" t="s">
        <v>228</v>
      </c>
      <c r="P872" t="str">
        <f>TEXT(Table1[[#This Row],[Transaction_Date]],"mmm")</f>
        <v>Jun</v>
      </c>
      <c r="Q872" s="11">
        <v>45837</v>
      </c>
      <c r="R872" s="8" t="s">
        <v>2047</v>
      </c>
      <c r="S872" s="8" t="s">
        <v>54</v>
      </c>
      <c r="T872" s="9">
        <v>5104.4399999999996</v>
      </c>
      <c r="U872" t="s">
        <v>71</v>
      </c>
      <c r="V872" s="8" t="s">
        <v>62</v>
      </c>
      <c r="W872"/>
      <c r="X872"/>
    </row>
    <row r="873" spans="1:24" hidden="1" x14ac:dyDescent="0.3">
      <c r="A873" t="s">
        <v>2048</v>
      </c>
      <c r="B873" t="s">
        <v>270</v>
      </c>
      <c r="C873">
        <v>37</v>
      </c>
      <c r="D873" t="s">
        <v>97</v>
      </c>
      <c r="E873" t="s">
        <v>98</v>
      </c>
      <c r="F873" t="s">
        <v>97</v>
      </c>
      <c r="G873" t="s">
        <v>51</v>
      </c>
      <c r="H873" s="8" t="s">
        <v>40</v>
      </c>
      <c r="I873" s="9">
        <v>38109.760000000002</v>
      </c>
      <c r="J873" s="9">
        <v>29405.95</v>
      </c>
      <c r="K873" s="8" t="s">
        <v>59</v>
      </c>
      <c r="L873" s="10">
        <v>33818.589999999997</v>
      </c>
      <c r="M873" s="8" t="s">
        <v>29</v>
      </c>
      <c r="N873" s="9">
        <v>30108.43</v>
      </c>
      <c r="O873" s="8" t="s">
        <v>30</v>
      </c>
      <c r="P873" t="str">
        <f>TEXT(Table1[[#This Row],[Transaction_Date]],"mmm")</f>
        <v>Jun</v>
      </c>
      <c r="Q873" s="11">
        <v>45826</v>
      </c>
      <c r="R873" s="8" t="s">
        <v>2049</v>
      </c>
      <c r="S873" s="8" t="s">
        <v>54</v>
      </c>
      <c r="T873" s="9">
        <v>10550.26</v>
      </c>
      <c r="U873" t="s">
        <v>61</v>
      </c>
      <c r="V873" s="8" t="s">
        <v>34</v>
      </c>
      <c r="W873"/>
      <c r="X873"/>
    </row>
    <row r="874" spans="1:24" x14ac:dyDescent="0.3">
      <c r="A874" t="s">
        <v>2050</v>
      </c>
      <c r="B874" t="s">
        <v>197</v>
      </c>
      <c r="C874">
        <v>57</v>
      </c>
      <c r="D874" t="s">
        <v>57</v>
      </c>
      <c r="E874" t="s">
        <v>58</v>
      </c>
      <c r="F874" t="s">
        <v>57</v>
      </c>
      <c r="G874" t="s">
        <v>39</v>
      </c>
      <c r="H874" s="8" t="s">
        <v>51</v>
      </c>
      <c r="I874" s="9">
        <v>32994.050000000003</v>
      </c>
      <c r="J874" s="9">
        <v>81360.78</v>
      </c>
      <c r="K874" s="8" t="s">
        <v>28</v>
      </c>
      <c r="L874" s="10">
        <v>43944.6</v>
      </c>
      <c r="M874" s="8" t="s">
        <v>29</v>
      </c>
      <c r="N874" s="9">
        <v>38075.550000000003</v>
      </c>
      <c r="O874" s="8" t="s">
        <v>30</v>
      </c>
      <c r="P874" t="str">
        <f>TEXT(Table1[[#This Row],[Transaction_Date]],"mmm")</f>
        <v>Sep</v>
      </c>
      <c r="Q874" s="11">
        <v>45925</v>
      </c>
      <c r="R874" s="8" t="s">
        <v>2051</v>
      </c>
      <c r="S874" s="8" t="s">
        <v>44</v>
      </c>
      <c r="T874" s="9">
        <v>626.25</v>
      </c>
      <c r="U874" t="s">
        <v>71</v>
      </c>
      <c r="V874" s="8" t="s">
        <v>62</v>
      </c>
      <c r="W874"/>
      <c r="X874"/>
    </row>
    <row r="875" spans="1:24" x14ac:dyDescent="0.3">
      <c r="A875" t="s">
        <v>2052</v>
      </c>
      <c r="B875" t="s">
        <v>1188</v>
      </c>
      <c r="C875">
        <v>21</v>
      </c>
      <c r="D875" t="s">
        <v>92</v>
      </c>
      <c r="E875" t="s">
        <v>93</v>
      </c>
      <c r="F875" t="s">
        <v>92</v>
      </c>
      <c r="G875" t="s">
        <v>39</v>
      </c>
      <c r="H875" s="8" t="s">
        <v>40</v>
      </c>
      <c r="I875" s="9">
        <v>32879.699999999997</v>
      </c>
      <c r="J875" s="9">
        <v>13982.15</v>
      </c>
      <c r="K875" s="8" t="s">
        <v>74</v>
      </c>
      <c r="L875" s="10">
        <v>0</v>
      </c>
      <c r="M875" s="8" t="s">
        <v>75</v>
      </c>
      <c r="N875" s="9">
        <v>0</v>
      </c>
      <c r="O875" s="8" t="s">
        <v>30</v>
      </c>
      <c r="P875" t="str">
        <f>TEXT(Table1[[#This Row],[Transaction_Date]],"mmm")</f>
        <v>Nov</v>
      </c>
      <c r="Q875" s="11">
        <v>45975</v>
      </c>
      <c r="R875" s="8" t="s">
        <v>2053</v>
      </c>
      <c r="S875" s="8" t="s">
        <v>44</v>
      </c>
      <c r="T875" s="9">
        <v>24941.27</v>
      </c>
      <c r="U875" t="s">
        <v>106</v>
      </c>
      <c r="V875" s="8" t="s">
        <v>62</v>
      </c>
      <c r="W875"/>
      <c r="X875"/>
    </row>
    <row r="876" spans="1:24" hidden="1" x14ac:dyDescent="0.3">
      <c r="A876" t="s">
        <v>2054</v>
      </c>
      <c r="B876" t="s">
        <v>563</v>
      </c>
      <c r="C876">
        <v>53</v>
      </c>
      <c r="D876" t="s">
        <v>92</v>
      </c>
      <c r="E876" t="s">
        <v>93</v>
      </c>
      <c r="F876" t="s">
        <v>92</v>
      </c>
      <c r="G876" t="s">
        <v>80</v>
      </c>
      <c r="H876" s="8" t="s">
        <v>27</v>
      </c>
      <c r="I876" s="9">
        <v>70152.92</v>
      </c>
      <c r="J876" s="9">
        <v>66252.14</v>
      </c>
      <c r="K876" s="8" t="s">
        <v>68</v>
      </c>
      <c r="L876" s="10">
        <v>26226.42</v>
      </c>
      <c r="M876" s="8" t="s">
        <v>29</v>
      </c>
      <c r="N876" s="9">
        <v>14176.6</v>
      </c>
      <c r="O876" s="8" t="s">
        <v>30</v>
      </c>
      <c r="P876" t="str">
        <f>TEXT(Table1[[#This Row],[Transaction_Date]],"mmm")</f>
        <v>Jul</v>
      </c>
      <c r="Q876" s="11">
        <v>45869</v>
      </c>
      <c r="R876" s="8" t="s">
        <v>2055</v>
      </c>
      <c r="S876" s="8" t="s">
        <v>70</v>
      </c>
      <c r="T876" s="9">
        <v>13295.95</v>
      </c>
      <c r="U876" t="s">
        <v>33</v>
      </c>
      <c r="V876" s="8" t="s">
        <v>62</v>
      </c>
      <c r="W876"/>
      <c r="X876"/>
    </row>
    <row r="877" spans="1:24" x14ac:dyDescent="0.3">
      <c r="A877" t="s">
        <v>2056</v>
      </c>
      <c r="B877" t="s">
        <v>356</v>
      </c>
      <c r="C877">
        <v>47</v>
      </c>
      <c r="D877" t="s">
        <v>97</v>
      </c>
      <c r="E877" t="s">
        <v>98</v>
      </c>
      <c r="F877" t="s">
        <v>97</v>
      </c>
      <c r="G877" t="s">
        <v>39</v>
      </c>
      <c r="H877" s="8" t="s">
        <v>27</v>
      </c>
      <c r="I877" s="9">
        <v>19730.060000000001</v>
      </c>
      <c r="J877" s="9">
        <v>41897.93</v>
      </c>
      <c r="K877" s="8" t="s">
        <v>74</v>
      </c>
      <c r="L877" s="10">
        <v>0</v>
      </c>
      <c r="M877" s="8" t="s">
        <v>75</v>
      </c>
      <c r="N877" s="9">
        <v>0</v>
      </c>
      <c r="O877" s="8" t="s">
        <v>30</v>
      </c>
      <c r="P877" t="str">
        <f>TEXT(Table1[[#This Row],[Transaction_Date]],"mmm")</f>
        <v>Dec</v>
      </c>
      <c r="Q877" s="11">
        <v>46013</v>
      </c>
      <c r="R877" s="8" t="s">
        <v>2057</v>
      </c>
      <c r="S877" s="8" t="s">
        <v>70</v>
      </c>
      <c r="T877" s="9">
        <v>1375.79</v>
      </c>
      <c r="U877" t="s">
        <v>77</v>
      </c>
      <c r="V877" s="8" t="s">
        <v>34</v>
      </c>
      <c r="W877"/>
      <c r="X877"/>
    </row>
    <row r="878" spans="1:24" hidden="1" x14ac:dyDescent="0.3">
      <c r="A878" t="s">
        <v>2058</v>
      </c>
      <c r="B878" t="s">
        <v>568</v>
      </c>
      <c r="C878">
        <v>55</v>
      </c>
      <c r="D878" t="s">
        <v>92</v>
      </c>
      <c r="E878" t="s">
        <v>93</v>
      </c>
      <c r="F878" t="s">
        <v>92</v>
      </c>
      <c r="G878" t="s">
        <v>80</v>
      </c>
      <c r="H878" s="8" t="s">
        <v>51</v>
      </c>
      <c r="I878" s="9">
        <v>60698.18</v>
      </c>
      <c r="J878" s="9">
        <v>6493.77</v>
      </c>
      <c r="K878" s="8" t="s">
        <v>52</v>
      </c>
      <c r="L878" s="10">
        <v>65514.74</v>
      </c>
      <c r="M878" s="8" t="s">
        <v>29</v>
      </c>
      <c r="N878" s="9">
        <v>62132.69</v>
      </c>
      <c r="O878" s="8" t="s">
        <v>228</v>
      </c>
      <c r="P878" t="str">
        <f>TEXT(Table1[[#This Row],[Transaction_Date]],"mmm")</f>
        <v>Nov</v>
      </c>
      <c r="Q878" s="11">
        <v>45991</v>
      </c>
      <c r="R878" s="8" t="s">
        <v>2059</v>
      </c>
      <c r="S878" s="8" t="s">
        <v>44</v>
      </c>
      <c r="T878" s="9">
        <v>2174.96</v>
      </c>
      <c r="U878" t="s">
        <v>106</v>
      </c>
      <c r="V878" s="8" t="s">
        <v>62</v>
      </c>
      <c r="W878"/>
      <c r="X878"/>
    </row>
    <row r="879" spans="1:24" x14ac:dyDescent="0.3">
      <c r="A879" t="s">
        <v>2060</v>
      </c>
      <c r="B879" t="s">
        <v>257</v>
      </c>
      <c r="C879">
        <v>48</v>
      </c>
      <c r="D879" t="s">
        <v>37</v>
      </c>
      <c r="E879" t="s">
        <v>38</v>
      </c>
      <c r="F879" t="s">
        <v>37</v>
      </c>
      <c r="G879" t="s">
        <v>39</v>
      </c>
      <c r="H879" s="8" t="s">
        <v>40</v>
      </c>
      <c r="I879" s="9">
        <v>56099.95</v>
      </c>
      <c r="J879" s="9">
        <v>19487.02</v>
      </c>
      <c r="K879" s="8" t="s">
        <v>74</v>
      </c>
      <c r="L879" s="10">
        <v>0</v>
      </c>
      <c r="M879" s="8" t="s">
        <v>75</v>
      </c>
      <c r="N879" s="9">
        <v>0</v>
      </c>
      <c r="O879" s="8" t="s">
        <v>30</v>
      </c>
      <c r="P879" t="str">
        <f>TEXT(Table1[[#This Row],[Transaction_Date]],"mmm")</f>
        <v>Sep</v>
      </c>
      <c r="Q879" s="11">
        <v>45926</v>
      </c>
      <c r="R879" s="8" t="s">
        <v>2061</v>
      </c>
      <c r="S879" s="8" t="s">
        <v>32</v>
      </c>
      <c r="T879" s="9">
        <v>1085.3599999999999</v>
      </c>
      <c r="U879" t="s">
        <v>33</v>
      </c>
      <c r="V879" s="8" t="s">
        <v>62</v>
      </c>
      <c r="W879"/>
      <c r="X879"/>
    </row>
    <row r="880" spans="1:24" hidden="1" x14ac:dyDescent="0.3">
      <c r="A880" t="s">
        <v>2062</v>
      </c>
      <c r="B880" t="s">
        <v>1029</v>
      </c>
      <c r="C880">
        <v>18</v>
      </c>
      <c r="D880" t="s">
        <v>92</v>
      </c>
      <c r="E880" t="s">
        <v>93</v>
      </c>
      <c r="F880" t="s">
        <v>92</v>
      </c>
      <c r="G880" t="s">
        <v>26</v>
      </c>
      <c r="H880" s="8" t="s">
        <v>67</v>
      </c>
      <c r="I880" s="9">
        <v>19796.2</v>
      </c>
      <c r="J880" s="9">
        <v>13005.16</v>
      </c>
      <c r="K880" s="8" t="s">
        <v>59</v>
      </c>
      <c r="L880" s="10">
        <v>70346.929999999993</v>
      </c>
      <c r="M880" s="8" t="s">
        <v>29</v>
      </c>
      <c r="N880" s="9">
        <v>20882.650000000001</v>
      </c>
      <c r="O880" s="8" t="s">
        <v>228</v>
      </c>
      <c r="P880" t="str">
        <f>TEXT(Table1[[#This Row],[Transaction_Date]],"mmm")</f>
        <v>Jul</v>
      </c>
      <c r="Q880" s="11">
        <v>45854</v>
      </c>
      <c r="R880" s="8" t="s">
        <v>2063</v>
      </c>
      <c r="S880" s="8" t="s">
        <v>32</v>
      </c>
      <c r="T880" s="9">
        <v>13720.68</v>
      </c>
      <c r="U880" t="s">
        <v>106</v>
      </c>
      <c r="V880" s="8" t="s">
        <v>62</v>
      </c>
      <c r="W880"/>
      <c r="X880"/>
    </row>
    <row r="881" spans="1:24" hidden="1" x14ac:dyDescent="0.3">
      <c r="A881" t="s">
        <v>2064</v>
      </c>
      <c r="B881" t="s">
        <v>711</v>
      </c>
      <c r="C881">
        <v>18</v>
      </c>
      <c r="D881" t="s">
        <v>37</v>
      </c>
      <c r="E881" t="s">
        <v>38</v>
      </c>
      <c r="F881" t="s">
        <v>37</v>
      </c>
      <c r="G881" t="s">
        <v>51</v>
      </c>
      <c r="H881" s="8" t="s">
        <v>40</v>
      </c>
      <c r="I881" s="9">
        <v>61179.6</v>
      </c>
      <c r="J881" s="9">
        <v>18076.150000000001</v>
      </c>
      <c r="K881" s="8" t="s">
        <v>68</v>
      </c>
      <c r="L881" s="10">
        <v>39553.4</v>
      </c>
      <c r="M881" s="8" t="s">
        <v>29</v>
      </c>
      <c r="N881" s="9">
        <v>31258.75</v>
      </c>
      <c r="O881" s="8" t="s">
        <v>30</v>
      </c>
      <c r="P881" t="str">
        <f>TEXT(Table1[[#This Row],[Transaction_Date]],"mmm")</f>
        <v>Dec</v>
      </c>
      <c r="Q881" s="11">
        <v>46009</v>
      </c>
      <c r="R881" s="8" t="s">
        <v>2065</v>
      </c>
      <c r="S881" s="8" t="s">
        <v>44</v>
      </c>
      <c r="T881" s="9">
        <v>1479.31</v>
      </c>
      <c r="U881" t="s">
        <v>71</v>
      </c>
      <c r="V881" s="8" t="s">
        <v>62</v>
      </c>
      <c r="W881"/>
      <c r="X881"/>
    </row>
    <row r="882" spans="1:24" hidden="1" x14ac:dyDescent="0.3">
      <c r="A882" t="s">
        <v>2066</v>
      </c>
      <c r="B882" t="s">
        <v>1062</v>
      </c>
      <c r="C882">
        <v>18</v>
      </c>
      <c r="D882" t="s">
        <v>57</v>
      </c>
      <c r="E882" t="s">
        <v>58</v>
      </c>
      <c r="F882" t="s">
        <v>57</v>
      </c>
      <c r="G882" t="s">
        <v>80</v>
      </c>
      <c r="H882" s="8" t="s">
        <v>40</v>
      </c>
      <c r="I882" s="9">
        <v>26847.75</v>
      </c>
      <c r="J882" s="9">
        <v>31932.400000000001</v>
      </c>
      <c r="K882" s="8" t="s">
        <v>68</v>
      </c>
      <c r="L882" s="10">
        <v>25767</v>
      </c>
      <c r="M882" s="8" t="s">
        <v>42</v>
      </c>
      <c r="N882" s="9">
        <v>0</v>
      </c>
      <c r="O882" s="8" t="s">
        <v>30</v>
      </c>
      <c r="P882" t="str">
        <f>TEXT(Table1[[#This Row],[Transaction_Date]],"mmm")</f>
        <v>Jun</v>
      </c>
      <c r="Q882" s="11">
        <v>45820</v>
      </c>
      <c r="R882" s="8" t="s">
        <v>2067</v>
      </c>
      <c r="S882" s="8" t="s">
        <v>54</v>
      </c>
      <c r="T882" s="9">
        <v>3346.84</v>
      </c>
      <c r="U882" t="s">
        <v>33</v>
      </c>
      <c r="V882" s="8" t="s">
        <v>62</v>
      </c>
      <c r="W882"/>
      <c r="X882"/>
    </row>
    <row r="883" spans="1:24" x14ac:dyDescent="0.3">
      <c r="A883" t="s">
        <v>2068</v>
      </c>
      <c r="B883" t="s">
        <v>328</v>
      </c>
      <c r="C883">
        <v>25</v>
      </c>
      <c r="D883" t="s">
        <v>65</v>
      </c>
      <c r="E883" t="s">
        <v>66</v>
      </c>
      <c r="F883" t="s">
        <v>65</v>
      </c>
      <c r="G883" t="s">
        <v>39</v>
      </c>
      <c r="H883" s="8" t="s">
        <v>40</v>
      </c>
      <c r="I883" s="9">
        <v>67163.7</v>
      </c>
      <c r="J883" s="9">
        <v>27990.33</v>
      </c>
      <c r="K883" s="8" t="s">
        <v>74</v>
      </c>
      <c r="L883" s="10">
        <v>0</v>
      </c>
      <c r="M883" s="8" t="s">
        <v>75</v>
      </c>
      <c r="N883" s="9">
        <v>0</v>
      </c>
      <c r="O883" s="8" t="s">
        <v>30</v>
      </c>
      <c r="P883" t="str">
        <f>TEXT(Table1[[#This Row],[Transaction_Date]],"mmm")</f>
        <v>Jun</v>
      </c>
      <c r="Q883" s="11">
        <v>45823</v>
      </c>
      <c r="R883" s="8" t="s">
        <v>2069</v>
      </c>
      <c r="S883" s="8" t="s">
        <v>32</v>
      </c>
      <c r="T883" s="9">
        <v>6670.94</v>
      </c>
      <c r="U883" t="s">
        <v>33</v>
      </c>
      <c r="V883" s="8" t="s">
        <v>62</v>
      </c>
      <c r="W883"/>
      <c r="X883"/>
    </row>
    <row r="884" spans="1:24" x14ac:dyDescent="0.3">
      <c r="A884" t="s">
        <v>2070</v>
      </c>
      <c r="B884" t="s">
        <v>592</v>
      </c>
      <c r="C884">
        <v>48</v>
      </c>
      <c r="D884" t="s">
        <v>92</v>
      </c>
      <c r="E884" t="s">
        <v>93</v>
      </c>
      <c r="F884" t="s">
        <v>92</v>
      </c>
      <c r="G884" t="s">
        <v>39</v>
      </c>
      <c r="H884" s="8" t="s">
        <v>40</v>
      </c>
      <c r="I884" s="9">
        <v>34712.230000000003</v>
      </c>
      <c r="J884" s="9">
        <v>24119.34</v>
      </c>
      <c r="K884" s="8" t="s">
        <v>68</v>
      </c>
      <c r="L884" s="10">
        <v>89804.479999999996</v>
      </c>
      <c r="M884" s="8" t="s">
        <v>42</v>
      </c>
      <c r="N884" s="9">
        <v>0</v>
      </c>
      <c r="O884" s="8" t="s">
        <v>30</v>
      </c>
      <c r="P884" t="str">
        <f>TEXT(Table1[[#This Row],[Transaction_Date]],"mmm")</f>
        <v>Aug</v>
      </c>
      <c r="Q884" s="11">
        <v>45883</v>
      </c>
      <c r="R884" s="8" t="s">
        <v>2071</v>
      </c>
      <c r="S884" s="8" t="s">
        <v>32</v>
      </c>
      <c r="T884" s="9">
        <v>3912.75</v>
      </c>
      <c r="U884" t="s">
        <v>61</v>
      </c>
      <c r="V884" s="8" t="s">
        <v>34</v>
      </c>
      <c r="W884"/>
      <c r="X884"/>
    </row>
    <row r="885" spans="1:24" hidden="1" x14ac:dyDescent="0.3">
      <c r="A885" t="s">
        <v>2072</v>
      </c>
      <c r="B885" t="s">
        <v>135</v>
      </c>
      <c r="C885">
        <v>29</v>
      </c>
      <c r="D885" t="s">
        <v>92</v>
      </c>
      <c r="E885" t="s">
        <v>93</v>
      </c>
      <c r="F885" t="s">
        <v>92</v>
      </c>
      <c r="G885" t="s">
        <v>80</v>
      </c>
      <c r="H885" s="8" t="s">
        <v>51</v>
      </c>
      <c r="I885" s="9">
        <v>37400.879999999997</v>
      </c>
      <c r="J885" s="9">
        <v>39187.18</v>
      </c>
      <c r="K885" s="8" t="s">
        <v>68</v>
      </c>
      <c r="L885" s="10">
        <v>31006.15</v>
      </c>
      <c r="M885" s="8" t="s">
        <v>29</v>
      </c>
      <c r="N885" s="9">
        <v>8697.7099999999991</v>
      </c>
      <c r="O885" s="8" t="s">
        <v>30</v>
      </c>
      <c r="P885" t="str">
        <f>TEXT(Table1[[#This Row],[Transaction_Date]],"mmm")</f>
        <v>Sep</v>
      </c>
      <c r="Q885" s="11">
        <v>45930</v>
      </c>
      <c r="R885" s="8" t="s">
        <v>2073</v>
      </c>
      <c r="S885" s="8" t="s">
        <v>70</v>
      </c>
      <c r="T885" s="9">
        <v>781.55</v>
      </c>
      <c r="U885" t="s">
        <v>475</v>
      </c>
      <c r="V885" s="8" t="s">
        <v>62</v>
      </c>
      <c r="W885"/>
      <c r="X885"/>
    </row>
    <row r="886" spans="1:24" x14ac:dyDescent="0.3">
      <c r="A886" t="s">
        <v>2074</v>
      </c>
      <c r="B886" t="s">
        <v>1785</v>
      </c>
      <c r="C886">
        <v>27</v>
      </c>
      <c r="D886" t="s">
        <v>84</v>
      </c>
      <c r="E886" t="s">
        <v>85</v>
      </c>
      <c r="F886" t="s">
        <v>84</v>
      </c>
      <c r="G886" t="s">
        <v>39</v>
      </c>
      <c r="H886" s="8" t="s">
        <v>27</v>
      </c>
      <c r="I886" s="9">
        <v>34166.42</v>
      </c>
      <c r="J886" s="9">
        <v>30607.52</v>
      </c>
      <c r="K886" s="8" t="s">
        <v>74</v>
      </c>
      <c r="L886" s="10">
        <v>0</v>
      </c>
      <c r="M886" s="8" t="s">
        <v>75</v>
      </c>
      <c r="N886" s="9">
        <v>0</v>
      </c>
      <c r="O886" s="8" t="s">
        <v>30</v>
      </c>
      <c r="P886" t="str">
        <f>TEXT(Table1[[#This Row],[Transaction_Date]],"mmm")</f>
        <v>Sep</v>
      </c>
      <c r="Q886" s="11">
        <v>45926</v>
      </c>
      <c r="R886" s="8" t="s">
        <v>2075</v>
      </c>
      <c r="S886" s="8" t="s">
        <v>32</v>
      </c>
      <c r="T886" s="9">
        <v>4821.22</v>
      </c>
      <c r="U886" t="s">
        <v>45</v>
      </c>
      <c r="V886" s="8" t="s">
        <v>46</v>
      </c>
      <c r="W886"/>
      <c r="X886"/>
    </row>
    <row r="887" spans="1:24" hidden="1" x14ac:dyDescent="0.3">
      <c r="A887" t="s">
        <v>2076</v>
      </c>
      <c r="B887" t="s">
        <v>218</v>
      </c>
      <c r="C887">
        <v>40</v>
      </c>
      <c r="D887" t="s">
        <v>24</v>
      </c>
      <c r="E887" t="s">
        <v>25</v>
      </c>
      <c r="F887" t="s">
        <v>24</v>
      </c>
      <c r="G887" t="s">
        <v>51</v>
      </c>
      <c r="H887" s="8" t="s">
        <v>40</v>
      </c>
      <c r="I887" s="9">
        <v>49475.43</v>
      </c>
      <c r="J887" s="9">
        <v>49281.120000000003</v>
      </c>
      <c r="K887" s="8" t="s">
        <v>41</v>
      </c>
      <c r="L887" s="10">
        <v>38015.15</v>
      </c>
      <c r="M887" s="8" t="s">
        <v>29</v>
      </c>
      <c r="N887" s="9">
        <v>15387.74</v>
      </c>
      <c r="O887" s="8" t="s">
        <v>228</v>
      </c>
      <c r="P887" t="str">
        <f>TEXT(Table1[[#This Row],[Transaction_Date]],"mmm")</f>
        <v>Mar</v>
      </c>
      <c r="Q887" s="11">
        <v>45723</v>
      </c>
      <c r="R887" s="8" t="s">
        <v>2077</v>
      </c>
      <c r="S887" s="8" t="s">
        <v>44</v>
      </c>
      <c r="T887" s="9">
        <v>459.23</v>
      </c>
      <c r="U887" t="s">
        <v>33</v>
      </c>
      <c r="V887" s="8" t="s">
        <v>62</v>
      </c>
      <c r="W887"/>
      <c r="X887"/>
    </row>
    <row r="888" spans="1:24" hidden="1" x14ac:dyDescent="0.3">
      <c r="A888" t="s">
        <v>2078</v>
      </c>
      <c r="B888" t="s">
        <v>231</v>
      </c>
      <c r="C888">
        <v>36</v>
      </c>
      <c r="D888" t="s">
        <v>49</v>
      </c>
      <c r="E888" t="s">
        <v>50</v>
      </c>
      <c r="F888" t="s">
        <v>49</v>
      </c>
      <c r="G888" t="s">
        <v>80</v>
      </c>
      <c r="H888" s="8" t="s">
        <v>67</v>
      </c>
      <c r="I888" s="9">
        <v>20358.96</v>
      </c>
      <c r="J888" s="9">
        <v>21103.88</v>
      </c>
      <c r="K888" s="8" t="s">
        <v>68</v>
      </c>
      <c r="L888" s="10">
        <v>77474.039999999994</v>
      </c>
      <c r="M888" s="8" t="s">
        <v>29</v>
      </c>
      <c r="N888" s="9">
        <v>29529.78</v>
      </c>
      <c r="O888" s="8" t="s">
        <v>30</v>
      </c>
      <c r="P888" t="str">
        <f>TEXT(Table1[[#This Row],[Transaction_Date]],"mmm")</f>
        <v>Aug</v>
      </c>
      <c r="Q888" s="11">
        <v>45884</v>
      </c>
      <c r="R888" s="8" t="s">
        <v>2079</v>
      </c>
      <c r="S888" s="8" t="s">
        <v>54</v>
      </c>
      <c r="T888" s="9">
        <v>386.32</v>
      </c>
      <c r="U888" t="s">
        <v>71</v>
      </c>
      <c r="V888" s="8" t="s">
        <v>62</v>
      </c>
      <c r="W888"/>
      <c r="X888"/>
    </row>
    <row r="889" spans="1:24" x14ac:dyDescent="0.3">
      <c r="A889" t="s">
        <v>2080</v>
      </c>
      <c r="B889" t="s">
        <v>455</v>
      </c>
      <c r="C889">
        <v>29</v>
      </c>
      <c r="D889" t="s">
        <v>92</v>
      </c>
      <c r="E889" t="s">
        <v>93</v>
      </c>
      <c r="F889" t="s">
        <v>92</v>
      </c>
      <c r="G889" t="s">
        <v>39</v>
      </c>
      <c r="H889" s="8" t="s">
        <v>67</v>
      </c>
      <c r="I889" s="9">
        <v>13047.69</v>
      </c>
      <c r="J889" s="9">
        <v>29985.87</v>
      </c>
      <c r="K889" s="8" t="s">
        <v>59</v>
      </c>
      <c r="L889" s="10">
        <v>48639.62</v>
      </c>
      <c r="M889" s="8" t="s">
        <v>29</v>
      </c>
      <c r="N889" s="9">
        <v>40043.01</v>
      </c>
      <c r="O889" s="8" t="s">
        <v>30</v>
      </c>
      <c r="P889" t="str">
        <f>TEXT(Table1[[#This Row],[Transaction_Date]],"mmm")</f>
        <v>Apr</v>
      </c>
      <c r="Q889" s="11">
        <v>45769</v>
      </c>
      <c r="R889" s="8" t="s">
        <v>2081</v>
      </c>
      <c r="S889" s="8" t="s">
        <v>70</v>
      </c>
      <c r="T889" s="9">
        <v>2776.2</v>
      </c>
      <c r="U889" t="s">
        <v>61</v>
      </c>
      <c r="V889" s="8" t="s">
        <v>62</v>
      </c>
      <c r="W889"/>
      <c r="X889"/>
    </row>
    <row r="890" spans="1:24" hidden="1" x14ac:dyDescent="0.3">
      <c r="A890" t="s">
        <v>2082</v>
      </c>
      <c r="B890" t="s">
        <v>553</v>
      </c>
      <c r="C890">
        <v>46</v>
      </c>
      <c r="D890" t="s">
        <v>57</v>
      </c>
      <c r="E890" t="s">
        <v>58</v>
      </c>
      <c r="F890" t="s">
        <v>57</v>
      </c>
      <c r="G890" t="s">
        <v>51</v>
      </c>
      <c r="H890" s="8" t="s">
        <v>40</v>
      </c>
      <c r="I890" s="9">
        <v>67778.13</v>
      </c>
      <c r="J890" s="9">
        <v>17700.330000000002</v>
      </c>
      <c r="K890" s="8" t="s">
        <v>52</v>
      </c>
      <c r="L890" s="10">
        <v>102861</v>
      </c>
      <c r="M890" s="8" t="s">
        <v>42</v>
      </c>
      <c r="N890" s="9">
        <v>0</v>
      </c>
      <c r="O890" s="8" t="s">
        <v>30</v>
      </c>
      <c r="P890" t="str">
        <f>TEXT(Table1[[#This Row],[Transaction_Date]],"mmm")</f>
        <v>Jan</v>
      </c>
      <c r="Q890" s="11">
        <v>45667</v>
      </c>
      <c r="R890" s="8" t="s">
        <v>2083</v>
      </c>
      <c r="S890" s="8" t="s">
        <v>32</v>
      </c>
      <c r="T890" s="9">
        <v>5224.41</v>
      </c>
      <c r="U890" t="s">
        <v>33</v>
      </c>
      <c r="V890" s="8" t="s">
        <v>62</v>
      </c>
      <c r="W890"/>
      <c r="X890"/>
    </row>
    <row r="891" spans="1:24" x14ac:dyDescent="0.3">
      <c r="A891" t="s">
        <v>2084</v>
      </c>
      <c r="B891" t="s">
        <v>2085</v>
      </c>
      <c r="C891">
        <v>52</v>
      </c>
      <c r="D891" t="s">
        <v>57</v>
      </c>
      <c r="E891" t="s">
        <v>58</v>
      </c>
      <c r="F891" t="s">
        <v>57</v>
      </c>
      <c r="G891" t="s">
        <v>39</v>
      </c>
      <c r="H891" s="8" t="s">
        <v>51</v>
      </c>
      <c r="I891" s="9">
        <v>60456.54</v>
      </c>
      <c r="J891" s="9">
        <v>135645.17000000001</v>
      </c>
      <c r="K891" s="8" t="s">
        <v>52</v>
      </c>
      <c r="L891" s="10">
        <v>25000</v>
      </c>
      <c r="M891" s="8" t="s">
        <v>29</v>
      </c>
      <c r="N891" s="9">
        <v>22010.880000000001</v>
      </c>
      <c r="O891" s="8" t="s">
        <v>30</v>
      </c>
      <c r="P891" t="str">
        <f>TEXT(Table1[[#This Row],[Transaction_Date]],"mmm")</f>
        <v>Aug</v>
      </c>
      <c r="Q891" s="11">
        <v>45871</v>
      </c>
      <c r="R891" s="8" t="s">
        <v>2086</v>
      </c>
      <c r="S891" s="8" t="s">
        <v>44</v>
      </c>
      <c r="T891" s="9">
        <v>3140.42</v>
      </c>
      <c r="U891" t="s">
        <v>106</v>
      </c>
      <c r="V891" s="8" t="s">
        <v>62</v>
      </c>
      <c r="W891"/>
      <c r="X891"/>
    </row>
    <row r="892" spans="1:24" x14ac:dyDescent="0.3">
      <c r="A892" t="s">
        <v>2087</v>
      </c>
      <c r="B892" t="s">
        <v>992</v>
      </c>
      <c r="C892">
        <v>51</v>
      </c>
      <c r="D892" t="s">
        <v>84</v>
      </c>
      <c r="E892" t="s">
        <v>85</v>
      </c>
      <c r="F892" t="s">
        <v>84</v>
      </c>
      <c r="G892" t="s">
        <v>39</v>
      </c>
      <c r="H892" s="8" t="s">
        <v>27</v>
      </c>
      <c r="I892" s="9">
        <v>68975.399999999994</v>
      </c>
      <c r="J892" s="9">
        <v>40745.32</v>
      </c>
      <c r="K892" s="8" t="s">
        <v>59</v>
      </c>
      <c r="L892" s="10">
        <v>27731.33</v>
      </c>
      <c r="M892" s="8" t="s">
        <v>29</v>
      </c>
      <c r="N892" s="9">
        <v>23014.080000000002</v>
      </c>
      <c r="O892" s="8" t="s">
        <v>30</v>
      </c>
      <c r="P892" t="str">
        <f>TEXT(Table1[[#This Row],[Transaction_Date]],"mmm")</f>
        <v>Dec</v>
      </c>
      <c r="Q892" s="11">
        <v>46011</v>
      </c>
      <c r="R892" s="8" t="s">
        <v>2088</v>
      </c>
      <c r="S892" s="8" t="s">
        <v>32</v>
      </c>
      <c r="T892" s="9">
        <v>1819.83</v>
      </c>
      <c r="U892" t="s">
        <v>71</v>
      </c>
      <c r="V892" s="8" t="s">
        <v>46</v>
      </c>
      <c r="W892"/>
      <c r="X892"/>
    </row>
    <row r="893" spans="1:24" hidden="1" x14ac:dyDescent="0.3">
      <c r="A893" t="s">
        <v>2089</v>
      </c>
      <c r="B893" t="s">
        <v>777</v>
      </c>
      <c r="C893">
        <v>32</v>
      </c>
      <c r="D893" t="s">
        <v>65</v>
      </c>
      <c r="E893" t="s">
        <v>66</v>
      </c>
      <c r="F893" t="s">
        <v>65</v>
      </c>
      <c r="G893" t="s">
        <v>26</v>
      </c>
      <c r="H893" s="8" t="s">
        <v>27</v>
      </c>
      <c r="I893" s="9">
        <v>12000</v>
      </c>
      <c r="J893" s="9">
        <v>65351.5</v>
      </c>
      <c r="K893" s="8" t="s">
        <v>74</v>
      </c>
      <c r="L893" s="10">
        <v>0</v>
      </c>
      <c r="M893" s="8" t="s">
        <v>75</v>
      </c>
      <c r="N893" s="9">
        <v>0</v>
      </c>
      <c r="O893" s="8" t="s">
        <v>30</v>
      </c>
      <c r="P893" t="str">
        <f>TEXT(Table1[[#This Row],[Transaction_Date]],"mmm")</f>
        <v>Jun</v>
      </c>
      <c r="Q893" s="11">
        <v>45810</v>
      </c>
      <c r="R893" s="8" t="s">
        <v>2090</v>
      </c>
      <c r="S893" s="8" t="s">
        <v>54</v>
      </c>
      <c r="T893" s="9">
        <v>2780.65</v>
      </c>
      <c r="U893" t="s">
        <v>71</v>
      </c>
      <c r="V893" s="8" t="s">
        <v>62</v>
      </c>
      <c r="W893"/>
      <c r="X893"/>
    </row>
    <row r="894" spans="1:24" hidden="1" x14ac:dyDescent="0.3">
      <c r="A894" t="s">
        <v>2091</v>
      </c>
      <c r="B894" t="s">
        <v>734</v>
      </c>
      <c r="C894">
        <v>44</v>
      </c>
      <c r="D894" t="s">
        <v>49</v>
      </c>
      <c r="E894" t="s">
        <v>50</v>
      </c>
      <c r="F894" t="s">
        <v>49</v>
      </c>
      <c r="G894" t="s">
        <v>80</v>
      </c>
      <c r="H894" s="8" t="s">
        <v>40</v>
      </c>
      <c r="I894" s="9">
        <v>51195.98</v>
      </c>
      <c r="J894" s="9">
        <v>40007.74</v>
      </c>
      <c r="K894" s="8" t="s">
        <v>68</v>
      </c>
      <c r="L894" s="10">
        <v>50060.62</v>
      </c>
      <c r="M894" s="8" t="s">
        <v>29</v>
      </c>
      <c r="N894" s="9">
        <v>38018.120000000003</v>
      </c>
      <c r="O894" s="8" t="s">
        <v>30</v>
      </c>
      <c r="P894" t="str">
        <f>TEXT(Table1[[#This Row],[Transaction_Date]],"mmm")</f>
        <v>Oct</v>
      </c>
      <c r="Q894" s="11">
        <v>45961</v>
      </c>
      <c r="R894" s="8" t="s">
        <v>2092</v>
      </c>
      <c r="S894" s="8" t="s">
        <v>70</v>
      </c>
      <c r="T894" s="9">
        <v>2507.73</v>
      </c>
      <c r="U894" t="s">
        <v>106</v>
      </c>
      <c r="V894" s="8" t="s">
        <v>34</v>
      </c>
      <c r="W894"/>
      <c r="X894"/>
    </row>
    <row r="895" spans="1:24" hidden="1" x14ac:dyDescent="0.3">
      <c r="A895" t="s">
        <v>2093</v>
      </c>
      <c r="B895" t="s">
        <v>654</v>
      </c>
      <c r="C895">
        <v>47</v>
      </c>
      <c r="D895" t="s">
        <v>24</v>
      </c>
      <c r="E895" t="s">
        <v>25</v>
      </c>
      <c r="F895" t="s">
        <v>24</v>
      </c>
      <c r="G895" t="s">
        <v>51</v>
      </c>
      <c r="H895" s="8" t="s">
        <v>40</v>
      </c>
      <c r="I895" s="9">
        <v>79764.800000000003</v>
      </c>
      <c r="J895" s="9">
        <v>19383.23</v>
      </c>
      <c r="K895" s="8" t="s">
        <v>74</v>
      </c>
      <c r="L895" s="10">
        <v>0</v>
      </c>
      <c r="M895" s="8" t="s">
        <v>75</v>
      </c>
      <c r="N895" s="9">
        <v>0</v>
      </c>
      <c r="O895" s="8" t="s">
        <v>30</v>
      </c>
      <c r="P895" t="str">
        <f>TEXT(Table1[[#This Row],[Transaction_Date]],"mmm")</f>
        <v>Apr</v>
      </c>
      <c r="Q895" s="11">
        <v>45757</v>
      </c>
      <c r="R895" s="8" t="s">
        <v>2094</v>
      </c>
      <c r="S895" s="8" t="s">
        <v>44</v>
      </c>
      <c r="T895" s="9">
        <v>578.77</v>
      </c>
      <c r="U895" t="s">
        <v>61</v>
      </c>
      <c r="V895" s="8" t="s">
        <v>62</v>
      </c>
      <c r="W895"/>
      <c r="X895"/>
    </row>
    <row r="896" spans="1:24" hidden="1" x14ac:dyDescent="0.3">
      <c r="A896" t="s">
        <v>2095</v>
      </c>
      <c r="B896" t="s">
        <v>273</v>
      </c>
      <c r="C896">
        <v>36</v>
      </c>
      <c r="D896" t="s">
        <v>65</v>
      </c>
      <c r="E896" t="s">
        <v>66</v>
      </c>
      <c r="F896" t="s">
        <v>65</v>
      </c>
      <c r="G896" t="s">
        <v>80</v>
      </c>
      <c r="H896" s="8" t="s">
        <v>51</v>
      </c>
      <c r="I896" s="9">
        <v>79320.59</v>
      </c>
      <c r="J896" s="9">
        <v>35341.4</v>
      </c>
      <c r="K896" s="8" t="s">
        <v>59</v>
      </c>
      <c r="L896" s="10">
        <v>25000</v>
      </c>
      <c r="M896" s="8" t="s">
        <v>42</v>
      </c>
      <c r="N896" s="9">
        <v>0</v>
      </c>
      <c r="O896" s="8" t="s">
        <v>30</v>
      </c>
      <c r="P896" t="str">
        <f>TEXT(Table1[[#This Row],[Transaction_Date]],"mmm")</f>
        <v>Aug</v>
      </c>
      <c r="Q896" s="11">
        <v>45892</v>
      </c>
      <c r="R896" s="8" t="s">
        <v>2096</v>
      </c>
      <c r="S896" s="8" t="s">
        <v>70</v>
      </c>
      <c r="T896" s="9">
        <v>2016.35</v>
      </c>
      <c r="U896" t="s">
        <v>61</v>
      </c>
      <c r="V896" s="8" t="s">
        <v>62</v>
      </c>
      <c r="W896"/>
      <c r="X896"/>
    </row>
    <row r="897" spans="1:24" x14ac:dyDescent="0.3">
      <c r="A897" t="s">
        <v>2097</v>
      </c>
      <c r="B897" t="s">
        <v>597</v>
      </c>
      <c r="C897">
        <v>40</v>
      </c>
      <c r="D897" t="s">
        <v>24</v>
      </c>
      <c r="E897" t="s">
        <v>25</v>
      </c>
      <c r="F897" t="s">
        <v>24</v>
      </c>
      <c r="G897" t="s">
        <v>39</v>
      </c>
      <c r="H897" s="8" t="s">
        <v>51</v>
      </c>
      <c r="I897" s="9">
        <v>102007.96</v>
      </c>
      <c r="J897" s="9">
        <v>8173.46</v>
      </c>
      <c r="K897" s="8" t="s">
        <v>28</v>
      </c>
      <c r="L897" s="10">
        <v>97790.92</v>
      </c>
      <c r="M897" s="8" t="s">
        <v>29</v>
      </c>
      <c r="N897" s="9">
        <v>69812.25</v>
      </c>
      <c r="O897" s="8" t="s">
        <v>30</v>
      </c>
      <c r="P897" t="str">
        <f>TEXT(Table1[[#This Row],[Transaction_Date]],"mmm")</f>
        <v>Aug</v>
      </c>
      <c r="Q897" s="11">
        <v>45871</v>
      </c>
      <c r="R897" s="8" t="s">
        <v>2098</v>
      </c>
      <c r="S897" s="8" t="s">
        <v>32</v>
      </c>
      <c r="T897" s="9">
        <v>640</v>
      </c>
      <c r="U897" t="s">
        <v>77</v>
      </c>
      <c r="V897" s="8" t="s">
        <v>62</v>
      </c>
      <c r="W897"/>
      <c r="X897"/>
    </row>
    <row r="898" spans="1:24" x14ac:dyDescent="0.3">
      <c r="A898" t="s">
        <v>2099</v>
      </c>
      <c r="B898" t="s">
        <v>957</v>
      </c>
      <c r="C898">
        <v>42</v>
      </c>
      <c r="D898" t="s">
        <v>24</v>
      </c>
      <c r="E898" t="s">
        <v>25</v>
      </c>
      <c r="F898" t="s">
        <v>24</v>
      </c>
      <c r="G898" t="s">
        <v>39</v>
      </c>
      <c r="H898" s="8" t="s">
        <v>40</v>
      </c>
      <c r="I898" s="9">
        <v>35986.18</v>
      </c>
      <c r="J898" s="9">
        <v>8833.61</v>
      </c>
      <c r="K898" s="8" t="s">
        <v>59</v>
      </c>
      <c r="L898" s="10">
        <v>50572.23</v>
      </c>
      <c r="M898" s="8" t="s">
        <v>42</v>
      </c>
      <c r="N898" s="9">
        <v>0</v>
      </c>
      <c r="O898" s="8" t="s">
        <v>30</v>
      </c>
      <c r="P898" t="str">
        <f>TEXT(Table1[[#This Row],[Transaction_Date]],"mmm")</f>
        <v>Jan</v>
      </c>
      <c r="Q898" s="11">
        <v>45688</v>
      </c>
      <c r="R898" s="8" t="s">
        <v>2100</v>
      </c>
      <c r="S898" s="8" t="s">
        <v>32</v>
      </c>
      <c r="T898" s="9">
        <v>1106.92</v>
      </c>
      <c r="U898" t="s">
        <v>61</v>
      </c>
      <c r="V898" s="8" t="s">
        <v>62</v>
      </c>
      <c r="W898"/>
      <c r="X898"/>
    </row>
    <row r="899" spans="1:24" x14ac:dyDescent="0.3">
      <c r="A899" t="s">
        <v>2101</v>
      </c>
      <c r="B899" t="s">
        <v>832</v>
      </c>
      <c r="C899">
        <v>33</v>
      </c>
      <c r="D899" t="s">
        <v>65</v>
      </c>
      <c r="E899" t="s">
        <v>66</v>
      </c>
      <c r="F899" t="s">
        <v>65</v>
      </c>
      <c r="G899" t="s">
        <v>39</v>
      </c>
      <c r="H899" s="8" t="s">
        <v>40</v>
      </c>
      <c r="I899" s="9">
        <v>51766.95</v>
      </c>
      <c r="J899" s="9">
        <v>46439.81</v>
      </c>
      <c r="K899" s="8" t="s">
        <v>74</v>
      </c>
      <c r="L899" s="10">
        <v>0</v>
      </c>
      <c r="M899" s="8" t="s">
        <v>75</v>
      </c>
      <c r="N899" s="9">
        <v>0</v>
      </c>
      <c r="O899" s="8" t="s">
        <v>30</v>
      </c>
      <c r="P899" t="str">
        <f>TEXT(Table1[[#This Row],[Transaction_Date]],"mmm")</f>
        <v>Mar</v>
      </c>
      <c r="Q899" s="11">
        <v>45747</v>
      </c>
      <c r="R899" s="8" t="s">
        <v>2102</v>
      </c>
      <c r="S899" s="8" t="s">
        <v>54</v>
      </c>
      <c r="T899" s="9">
        <v>6853.59</v>
      </c>
      <c r="U899" t="s">
        <v>33</v>
      </c>
      <c r="V899" s="8" t="s">
        <v>62</v>
      </c>
      <c r="W899"/>
      <c r="X899"/>
    </row>
    <row r="900" spans="1:24" x14ac:dyDescent="0.3">
      <c r="A900" t="s">
        <v>2103</v>
      </c>
      <c r="B900" t="s">
        <v>362</v>
      </c>
      <c r="C900">
        <v>34</v>
      </c>
      <c r="D900" t="s">
        <v>24</v>
      </c>
      <c r="E900" t="s">
        <v>25</v>
      </c>
      <c r="F900" t="s">
        <v>24</v>
      </c>
      <c r="G900" t="s">
        <v>39</v>
      </c>
      <c r="H900" s="8" t="s">
        <v>40</v>
      </c>
      <c r="I900" s="9">
        <v>55012.32</v>
      </c>
      <c r="J900" s="9">
        <v>33180.53</v>
      </c>
      <c r="K900" s="8" t="s">
        <v>41</v>
      </c>
      <c r="L900" s="10">
        <v>111283.9</v>
      </c>
      <c r="M900" s="8" t="s">
        <v>29</v>
      </c>
      <c r="N900" s="9">
        <v>39679.040000000001</v>
      </c>
      <c r="O900" s="8" t="s">
        <v>228</v>
      </c>
      <c r="P900" t="str">
        <f>TEXT(Table1[[#This Row],[Transaction_Date]],"mmm")</f>
        <v>Mar</v>
      </c>
      <c r="Q900" s="11">
        <v>45728</v>
      </c>
      <c r="R900" s="8" t="s">
        <v>2104</v>
      </c>
      <c r="S900" s="8" t="s">
        <v>32</v>
      </c>
      <c r="T900" s="9">
        <v>990.63</v>
      </c>
      <c r="U900" t="s">
        <v>61</v>
      </c>
      <c r="V900" s="8" t="s">
        <v>46</v>
      </c>
      <c r="W900"/>
      <c r="X900"/>
    </row>
    <row r="901" spans="1:24" x14ac:dyDescent="0.3">
      <c r="A901" t="s">
        <v>2105</v>
      </c>
      <c r="B901" t="s">
        <v>760</v>
      </c>
      <c r="C901">
        <v>23</v>
      </c>
      <c r="D901" t="s">
        <v>24</v>
      </c>
      <c r="E901" t="s">
        <v>25</v>
      </c>
      <c r="F901" t="s">
        <v>24</v>
      </c>
      <c r="G901" t="s">
        <v>39</v>
      </c>
      <c r="H901" s="8" t="s">
        <v>51</v>
      </c>
      <c r="I901" s="9">
        <v>105897.74</v>
      </c>
      <c r="J901" s="9">
        <v>14792.99</v>
      </c>
      <c r="K901" s="8" t="s">
        <v>68</v>
      </c>
      <c r="L901" s="10">
        <v>32865.949999999997</v>
      </c>
      <c r="M901" s="8" t="s">
        <v>29</v>
      </c>
      <c r="N901" s="9">
        <v>18619.04</v>
      </c>
      <c r="O901" s="8" t="s">
        <v>30</v>
      </c>
      <c r="P901" t="str">
        <f>TEXT(Table1[[#This Row],[Transaction_Date]],"mmm")</f>
        <v>Nov</v>
      </c>
      <c r="Q901" s="11">
        <v>45975</v>
      </c>
      <c r="R901" s="8" t="s">
        <v>2106</v>
      </c>
      <c r="S901" s="8" t="s">
        <v>54</v>
      </c>
      <c r="T901" s="9">
        <v>18232.38</v>
      </c>
      <c r="U901" t="s">
        <v>106</v>
      </c>
      <c r="V901" s="8" t="s">
        <v>62</v>
      </c>
      <c r="W901"/>
      <c r="X901"/>
    </row>
    <row r="902" spans="1:24" x14ac:dyDescent="0.3">
      <c r="A902" t="s">
        <v>2107</v>
      </c>
      <c r="B902" t="s">
        <v>387</v>
      </c>
      <c r="C902">
        <v>42</v>
      </c>
      <c r="D902" t="s">
        <v>92</v>
      </c>
      <c r="E902" t="s">
        <v>93</v>
      </c>
      <c r="F902" t="s">
        <v>92</v>
      </c>
      <c r="G902" t="s">
        <v>39</v>
      </c>
      <c r="H902" s="8" t="s">
        <v>40</v>
      </c>
      <c r="I902" s="9">
        <v>59289.29</v>
      </c>
      <c r="J902" s="9">
        <v>14410.87</v>
      </c>
      <c r="K902" s="8" t="s">
        <v>68</v>
      </c>
      <c r="L902" s="10">
        <v>39549.449999999997</v>
      </c>
      <c r="M902" s="8" t="s">
        <v>29</v>
      </c>
      <c r="N902" s="9">
        <v>13596.09</v>
      </c>
      <c r="O902" s="8" t="s">
        <v>228</v>
      </c>
      <c r="P902" t="str">
        <f>TEXT(Table1[[#This Row],[Transaction_Date]],"mmm")</f>
        <v>May</v>
      </c>
      <c r="Q902" s="11">
        <v>45793</v>
      </c>
      <c r="R902" s="8" t="s">
        <v>2108</v>
      </c>
      <c r="S902" s="8" t="s">
        <v>54</v>
      </c>
      <c r="T902" s="9">
        <v>1448.57</v>
      </c>
      <c r="U902" t="s">
        <v>77</v>
      </c>
      <c r="V902" s="8" t="s">
        <v>34</v>
      </c>
      <c r="W902"/>
      <c r="X902"/>
    </row>
    <row r="903" spans="1:24" x14ac:dyDescent="0.3">
      <c r="A903" t="s">
        <v>2109</v>
      </c>
      <c r="B903" t="s">
        <v>203</v>
      </c>
      <c r="C903">
        <v>37</v>
      </c>
      <c r="D903" t="s">
        <v>92</v>
      </c>
      <c r="E903" t="s">
        <v>93</v>
      </c>
      <c r="F903" t="s">
        <v>92</v>
      </c>
      <c r="G903" t="s">
        <v>39</v>
      </c>
      <c r="H903" s="8" t="s">
        <v>27</v>
      </c>
      <c r="I903" s="9">
        <v>98188.6</v>
      </c>
      <c r="J903" s="9">
        <v>63933.74</v>
      </c>
      <c r="K903" s="8" t="s">
        <v>74</v>
      </c>
      <c r="L903" s="10">
        <v>0</v>
      </c>
      <c r="M903" s="8" t="s">
        <v>75</v>
      </c>
      <c r="N903" s="9">
        <v>0</v>
      </c>
      <c r="O903" s="8" t="s">
        <v>30</v>
      </c>
      <c r="P903" t="str">
        <f>TEXT(Table1[[#This Row],[Transaction_Date]],"mmm")</f>
        <v>Jun</v>
      </c>
      <c r="Q903" s="11">
        <v>45830</v>
      </c>
      <c r="R903" s="8" t="s">
        <v>2110</v>
      </c>
      <c r="S903" s="8" t="s">
        <v>32</v>
      </c>
      <c r="T903" s="9">
        <v>285.33</v>
      </c>
      <c r="U903" t="s">
        <v>77</v>
      </c>
      <c r="V903" s="8" t="s">
        <v>34</v>
      </c>
      <c r="W903"/>
      <c r="X903"/>
    </row>
    <row r="904" spans="1:24" hidden="1" x14ac:dyDescent="0.3">
      <c r="A904" t="s">
        <v>2111</v>
      </c>
      <c r="B904" t="s">
        <v>376</v>
      </c>
      <c r="C904">
        <v>18</v>
      </c>
      <c r="D904" t="s">
        <v>97</v>
      </c>
      <c r="E904" t="s">
        <v>98</v>
      </c>
      <c r="F904" t="s">
        <v>97</v>
      </c>
      <c r="G904" t="s">
        <v>26</v>
      </c>
      <c r="H904" s="8" t="s">
        <v>27</v>
      </c>
      <c r="I904" s="9">
        <v>81856.56</v>
      </c>
      <c r="J904" s="9">
        <v>29000.77</v>
      </c>
      <c r="K904" s="8" t="s">
        <v>68</v>
      </c>
      <c r="L904" s="10">
        <v>220598.32</v>
      </c>
      <c r="M904" s="8" t="s">
        <v>29</v>
      </c>
      <c r="N904" s="9">
        <v>98052.49</v>
      </c>
      <c r="O904" s="8" t="s">
        <v>30</v>
      </c>
      <c r="P904" t="str">
        <f>TEXT(Table1[[#This Row],[Transaction_Date]],"mmm")</f>
        <v>Mar</v>
      </c>
      <c r="Q904" s="11">
        <v>45722</v>
      </c>
      <c r="R904" s="8" t="s">
        <v>2112</v>
      </c>
      <c r="S904" s="8" t="s">
        <v>32</v>
      </c>
      <c r="T904" s="9">
        <v>1720.75</v>
      </c>
      <c r="U904" t="s">
        <v>61</v>
      </c>
      <c r="V904" s="8" t="s">
        <v>62</v>
      </c>
      <c r="W904"/>
      <c r="X904"/>
    </row>
    <row r="905" spans="1:24" x14ac:dyDescent="0.3">
      <c r="A905" t="s">
        <v>2113</v>
      </c>
      <c r="B905" t="s">
        <v>1045</v>
      </c>
      <c r="C905">
        <v>21</v>
      </c>
      <c r="D905" t="s">
        <v>97</v>
      </c>
      <c r="E905" t="s">
        <v>98</v>
      </c>
      <c r="F905" t="s">
        <v>97</v>
      </c>
      <c r="G905" t="s">
        <v>39</v>
      </c>
      <c r="H905" s="8" t="s">
        <v>40</v>
      </c>
      <c r="I905" s="9">
        <v>53349.41</v>
      </c>
      <c r="J905" s="9">
        <v>34627.230000000003</v>
      </c>
      <c r="K905" s="8" t="s">
        <v>28</v>
      </c>
      <c r="L905" s="10">
        <v>135906.07999999999</v>
      </c>
      <c r="M905" s="8" t="s">
        <v>29</v>
      </c>
      <c r="N905" s="9">
        <v>126522.7</v>
      </c>
      <c r="O905" s="8" t="s">
        <v>30</v>
      </c>
      <c r="P905" t="str">
        <f>TEXT(Table1[[#This Row],[Transaction_Date]],"mmm")</f>
        <v>Mar</v>
      </c>
      <c r="Q905" s="11">
        <v>45735</v>
      </c>
      <c r="R905" s="8" t="s">
        <v>2114</v>
      </c>
      <c r="S905" s="8" t="s">
        <v>44</v>
      </c>
      <c r="T905" s="9">
        <v>7080.52</v>
      </c>
      <c r="U905" t="s">
        <v>71</v>
      </c>
      <c r="V905" s="8" t="s">
        <v>62</v>
      </c>
      <c r="W905"/>
      <c r="X905"/>
    </row>
    <row r="906" spans="1:24" x14ac:dyDescent="0.3">
      <c r="A906" t="s">
        <v>2115</v>
      </c>
      <c r="B906" t="s">
        <v>1009</v>
      </c>
      <c r="C906">
        <v>29</v>
      </c>
      <c r="D906" t="s">
        <v>37</v>
      </c>
      <c r="E906" t="s">
        <v>38</v>
      </c>
      <c r="F906" t="s">
        <v>37</v>
      </c>
      <c r="G906" t="s">
        <v>39</v>
      </c>
      <c r="H906" s="8" t="s">
        <v>51</v>
      </c>
      <c r="I906" s="9">
        <v>52010.239999999998</v>
      </c>
      <c r="J906" s="9">
        <v>53152</v>
      </c>
      <c r="K906" s="8" t="s">
        <v>68</v>
      </c>
      <c r="L906" s="10">
        <v>25000</v>
      </c>
      <c r="M906" s="8" t="s">
        <v>29</v>
      </c>
      <c r="N906" s="9">
        <v>6988.01</v>
      </c>
      <c r="O906" s="8" t="s">
        <v>228</v>
      </c>
      <c r="P906" t="str">
        <f>TEXT(Table1[[#This Row],[Transaction_Date]],"mmm")</f>
        <v>May</v>
      </c>
      <c r="Q906" s="11">
        <v>45807</v>
      </c>
      <c r="R906" s="8" t="s">
        <v>2116</v>
      </c>
      <c r="S906" s="8" t="s">
        <v>44</v>
      </c>
      <c r="T906" s="9">
        <v>1566.65</v>
      </c>
      <c r="U906" t="s">
        <v>77</v>
      </c>
      <c r="V906" s="8" t="s">
        <v>62</v>
      </c>
      <c r="W906"/>
      <c r="X906"/>
    </row>
    <row r="907" spans="1:24" x14ac:dyDescent="0.3">
      <c r="A907" t="s">
        <v>2117</v>
      </c>
      <c r="B907" t="s">
        <v>1029</v>
      </c>
      <c r="C907">
        <v>35</v>
      </c>
      <c r="D907" t="s">
        <v>24</v>
      </c>
      <c r="E907" t="s">
        <v>25</v>
      </c>
      <c r="F907" t="s">
        <v>24</v>
      </c>
      <c r="G907" t="s">
        <v>39</v>
      </c>
      <c r="H907" s="8" t="s">
        <v>40</v>
      </c>
      <c r="I907" s="9">
        <v>74762.66</v>
      </c>
      <c r="J907" s="9">
        <v>62826.39</v>
      </c>
      <c r="K907" s="8" t="s">
        <v>28</v>
      </c>
      <c r="L907" s="10">
        <v>35584.839999999997</v>
      </c>
      <c r="M907" s="8" t="s">
        <v>29</v>
      </c>
      <c r="N907" s="9">
        <v>14589.45</v>
      </c>
      <c r="O907" s="8" t="s">
        <v>30</v>
      </c>
      <c r="P907" t="str">
        <f>TEXT(Table1[[#This Row],[Transaction_Date]],"mmm")</f>
        <v>Jul</v>
      </c>
      <c r="Q907" s="11">
        <v>45863</v>
      </c>
      <c r="R907" s="8" t="s">
        <v>2118</v>
      </c>
      <c r="S907" s="8" t="s">
        <v>44</v>
      </c>
      <c r="T907" s="9">
        <v>3778.53</v>
      </c>
      <c r="U907" t="s">
        <v>33</v>
      </c>
      <c r="V907" s="8" t="s">
        <v>46</v>
      </c>
      <c r="W907"/>
      <c r="X907"/>
    </row>
    <row r="908" spans="1:24" hidden="1" x14ac:dyDescent="0.3">
      <c r="A908" t="s">
        <v>2119</v>
      </c>
      <c r="B908" t="s">
        <v>221</v>
      </c>
      <c r="C908">
        <v>24</v>
      </c>
      <c r="D908" t="s">
        <v>49</v>
      </c>
      <c r="E908" t="s">
        <v>50</v>
      </c>
      <c r="F908" t="s">
        <v>49</v>
      </c>
      <c r="G908" t="s">
        <v>80</v>
      </c>
      <c r="H908" s="8" t="s">
        <v>40</v>
      </c>
      <c r="I908" s="9">
        <v>64584.71</v>
      </c>
      <c r="J908" s="9">
        <v>9754.3799999999992</v>
      </c>
      <c r="K908" s="8" t="s">
        <v>74</v>
      </c>
      <c r="L908" s="10">
        <v>0</v>
      </c>
      <c r="M908" s="8" t="s">
        <v>75</v>
      </c>
      <c r="N908" s="9">
        <v>0</v>
      </c>
      <c r="O908" s="8" t="s">
        <v>30</v>
      </c>
      <c r="P908" t="str">
        <f>TEXT(Table1[[#This Row],[Transaction_Date]],"mmm")</f>
        <v>Apr</v>
      </c>
      <c r="Q908" s="11">
        <v>45758</v>
      </c>
      <c r="R908" s="8" t="s">
        <v>2120</v>
      </c>
      <c r="S908" s="8" t="s">
        <v>44</v>
      </c>
      <c r="T908" s="9">
        <v>14085.51</v>
      </c>
      <c r="U908" t="s">
        <v>106</v>
      </c>
      <c r="V908" s="8" t="s">
        <v>62</v>
      </c>
      <c r="W908"/>
      <c r="X908"/>
    </row>
    <row r="909" spans="1:24" x14ac:dyDescent="0.3">
      <c r="A909" t="s">
        <v>2121</v>
      </c>
      <c r="B909" t="s">
        <v>442</v>
      </c>
      <c r="C909">
        <v>47</v>
      </c>
      <c r="D909" t="s">
        <v>92</v>
      </c>
      <c r="E909" t="s">
        <v>93</v>
      </c>
      <c r="F909" t="s">
        <v>92</v>
      </c>
      <c r="G909" t="s">
        <v>39</v>
      </c>
      <c r="H909" s="8" t="s">
        <v>40</v>
      </c>
      <c r="I909" s="9">
        <v>69545.36</v>
      </c>
      <c r="J909" s="9">
        <v>23133.08</v>
      </c>
      <c r="K909" s="8" t="s">
        <v>68</v>
      </c>
      <c r="L909" s="10">
        <v>87788.800000000003</v>
      </c>
      <c r="M909" s="8" t="s">
        <v>42</v>
      </c>
      <c r="N909" s="9">
        <v>0</v>
      </c>
      <c r="O909" s="8" t="s">
        <v>30</v>
      </c>
      <c r="P909" t="str">
        <f>TEXT(Table1[[#This Row],[Transaction_Date]],"mmm")</f>
        <v>Dec</v>
      </c>
      <c r="Q909" s="11">
        <v>46011</v>
      </c>
      <c r="R909" s="8" t="s">
        <v>2122</v>
      </c>
      <c r="S909" s="8" t="s">
        <v>32</v>
      </c>
      <c r="T909" s="9">
        <v>2729.93</v>
      </c>
      <c r="U909" t="s">
        <v>77</v>
      </c>
      <c r="V909" s="8" t="s">
        <v>62</v>
      </c>
      <c r="W909"/>
      <c r="X909"/>
    </row>
    <row r="910" spans="1:24" x14ac:dyDescent="0.3">
      <c r="A910" t="s">
        <v>2123</v>
      </c>
      <c r="B910" t="s">
        <v>120</v>
      </c>
      <c r="C910">
        <v>31</v>
      </c>
      <c r="D910" t="s">
        <v>92</v>
      </c>
      <c r="E910" t="s">
        <v>93</v>
      </c>
      <c r="F910" t="s">
        <v>92</v>
      </c>
      <c r="G910" t="s">
        <v>39</v>
      </c>
      <c r="H910" s="8" t="s">
        <v>40</v>
      </c>
      <c r="I910" s="9">
        <v>46892.89</v>
      </c>
      <c r="J910" s="9">
        <v>16759.2</v>
      </c>
      <c r="K910" s="8" t="s">
        <v>28</v>
      </c>
      <c r="L910" s="10">
        <v>157329.16</v>
      </c>
      <c r="M910" s="8" t="s">
        <v>29</v>
      </c>
      <c r="N910" s="9">
        <v>148939.46</v>
      </c>
      <c r="O910" s="8" t="s">
        <v>30</v>
      </c>
      <c r="P910" t="str">
        <f>TEXT(Table1[[#This Row],[Transaction_Date]],"mmm")</f>
        <v>Feb</v>
      </c>
      <c r="Q910" s="11">
        <v>45697</v>
      </c>
      <c r="R910" s="8" t="s">
        <v>2124</v>
      </c>
      <c r="S910" s="8" t="s">
        <v>32</v>
      </c>
      <c r="T910" s="9">
        <v>2262.84</v>
      </c>
      <c r="U910" t="s">
        <v>71</v>
      </c>
      <c r="V910" s="8" t="s">
        <v>62</v>
      </c>
      <c r="W910"/>
      <c r="X910"/>
    </row>
    <row r="911" spans="1:24" hidden="1" x14ac:dyDescent="0.3">
      <c r="A911" t="s">
        <v>2125</v>
      </c>
      <c r="B911" t="s">
        <v>162</v>
      </c>
      <c r="C911">
        <v>37</v>
      </c>
      <c r="D911" t="s">
        <v>37</v>
      </c>
      <c r="E911" t="s">
        <v>38</v>
      </c>
      <c r="F911" t="s">
        <v>37</v>
      </c>
      <c r="G911" t="s">
        <v>80</v>
      </c>
      <c r="H911" s="8" t="s">
        <v>40</v>
      </c>
      <c r="I911" s="9">
        <v>64901.2</v>
      </c>
      <c r="J911" s="9">
        <v>10176.23</v>
      </c>
      <c r="K911" s="8" t="s">
        <v>59</v>
      </c>
      <c r="L911" s="10">
        <v>38476.99</v>
      </c>
      <c r="M911" s="8" t="s">
        <v>29</v>
      </c>
      <c r="N911" s="9">
        <v>24000.54</v>
      </c>
      <c r="O911" s="8" t="s">
        <v>30</v>
      </c>
      <c r="P911" t="str">
        <f>TEXT(Table1[[#This Row],[Transaction_Date]],"mmm")</f>
        <v>Jan</v>
      </c>
      <c r="Q911" s="11">
        <v>45674</v>
      </c>
      <c r="R911" s="8" t="s">
        <v>2126</v>
      </c>
      <c r="S911" s="8" t="s">
        <v>70</v>
      </c>
      <c r="T911" s="9">
        <v>815.32</v>
      </c>
      <c r="U911" t="s">
        <v>61</v>
      </c>
      <c r="V911" s="8" t="s">
        <v>46</v>
      </c>
      <c r="W911"/>
      <c r="X911"/>
    </row>
    <row r="912" spans="1:24" x14ac:dyDescent="0.3">
      <c r="A912" t="s">
        <v>2127</v>
      </c>
      <c r="B912" t="s">
        <v>224</v>
      </c>
      <c r="C912">
        <v>28</v>
      </c>
      <c r="D912" t="s">
        <v>37</v>
      </c>
      <c r="E912" t="s">
        <v>38</v>
      </c>
      <c r="F912" t="s">
        <v>37</v>
      </c>
      <c r="G912" t="s">
        <v>39</v>
      </c>
      <c r="H912" s="8" t="s">
        <v>40</v>
      </c>
      <c r="I912" s="9">
        <v>56669.91</v>
      </c>
      <c r="J912" s="9">
        <v>9896.01</v>
      </c>
      <c r="K912" s="8" t="s">
        <v>59</v>
      </c>
      <c r="L912" s="10">
        <v>266257.05</v>
      </c>
      <c r="M912" s="8" t="s">
        <v>42</v>
      </c>
      <c r="N912" s="9">
        <v>0</v>
      </c>
      <c r="O912" s="8" t="s">
        <v>30</v>
      </c>
      <c r="P912" t="str">
        <f>TEXT(Table1[[#This Row],[Transaction_Date]],"mmm")</f>
        <v>Jul</v>
      </c>
      <c r="Q912" s="11">
        <v>45841</v>
      </c>
      <c r="R912" s="8" t="s">
        <v>2128</v>
      </c>
      <c r="S912" s="8" t="s">
        <v>70</v>
      </c>
      <c r="T912" s="9">
        <v>8165.29</v>
      </c>
      <c r="U912" t="s">
        <v>45</v>
      </c>
      <c r="V912" s="8" t="s">
        <v>34</v>
      </c>
      <c r="W912"/>
      <c r="X912"/>
    </row>
    <row r="913" spans="1:24" x14ac:dyDescent="0.3">
      <c r="A913" t="s">
        <v>2129</v>
      </c>
      <c r="B913" t="s">
        <v>362</v>
      </c>
      <c r="C913">
        <v>70</v>
      </c>
      <c r="D913" t="s">
        <v>84</v>
      </c>
      <c r="E913" t="s">
        <v>85</v>
      </c>
      <c r="F913" t="s">
        <v>84</v>
      </c>
      <c r="G913" t="s">
        <v>39</v>
      </c>
      <c r="H913" s="8" t="s">
        <v>40</v>
      </c>
      <c r="I913" s="9">
        <v>71654.97</v>
      </c>
      <c r="J913" s="9">
        <v>80943.23</v>
      </c>
      <c r="K913" s="8" t="s">
        <v>74</v>
      </c>
      <c r="L913" s="10">
        <v>0</v>
      </c>
      <c r="M913" s="8" t="s">
        <v>75</v>
      </c>
      <c r="N913" s="9">
        <v>0</v>
      </c>
      <c r="O913" s="8" t="s">
        <v>30</v>
      </c>
      <c r="P913" t="str">
        <f>TEXT(Table1[[#This Row],[Transaction_Date]],"mmm")</f>
        <v>Oct</v>
      </c>
      <c r="Q913" s="11">
        <v>45944</v>
      </c>
      <c r="R913" s="8" t="s">
        <v>2130</v>
      </c>
      <c r="S913" s="8" t="s">
        <v>54</v>
      </c>
      <c r="T913" s="9">
        <v>696.16</v>
      </c>
      <c r="U913" t="s">
        <v>77</v>
      </c>
      <c r="V913" s="8" t="s">
        <v>62</v>
      </c>
      <c r="W913"/>
      <c r="X913"/>
    </row>
    <row r="914" spans="1:24" hidden="1" x14ac:dyDescent="0.3">
      <c r="A914" t="s">
        <v>2131</v>
      </c>
      <c r="B914" t="s">
        <v>957</v>
      </c>
      <c r="C914">
        <v>24</v>
      </c>
      <c r="D914" t="s">
        <v>24</v>
      </c>
      <c r="E914" t="s">
        <v>25</v>
      </c>
      <c r="F914" t="s">
        <v>24</v>
      </c>
      <c r="G914" t="s">
        <v>51</v>
      </c>
      <c r="H914" s="8" t="s">
        <v>27</v>
      </c>
      <c r="I914" s="9">
        <v>88737.02</v>
      </c>
      <c r="J914" s="9">
        <v>30035.040000000001</v>
      </c>
      <c r="K914" s="8" t="s">
        <v>74</v>
      </c>
      <c r="L914" s="10">
        <v>0</v>
      </c>
      <c r="M914" s="8" t="s">
        <v>75</v>
      </c>
      <c r="N914" s="9">
        <v>0</v>
      </c>
      <c r="O914" s="8" t="s">
        <v>30</v>
      </c>
      <c r="P914" t="str">
        <f>TEXT(Table1[[#This Row],[Transaction_Date]],"mmm")</f>
        <v>Jul</v>
      </c>
      <c r="Q914" s="11">
        <v>45856</v>
      </c>
      <c r="R914" s="8" t="s">
        <v>2132</v>
      </c>
      <c r="S914" s="8" t="s">
        <v>44</v>
      </c>
      <c r="T914" s="9">
        <v>1807.35</v>
      </c>
      <c r="U914" t="s">
        <v>106</v>
      </c>
      <c r="V914" s="8" t="s">
        <v>62</v>
      </c>
      <c r="W914"/>
      <c r="X914"/>
    </row>
    <row r="915" spans="1:24" hidden="1" x14ac:dyDescent="0.3">
      <c r="A915" t="s">
        <v>2133</v>
      </c>
      <c r="B915" t="s">
        <v>1377</v>
      </c>
      <c r="C915">
        <v>37</v>
      </c>
      <c r="D915" t="s">
        <v>97</v>
      </c>
      <c r="E915" t="s">
        <v>98</v>
      </c>
      <c r="F915" t="s">
        <v>97</v>
      </c>
      <c r="G915" t="s">
        <v>80</v>
      </c>
      <c r="H915" s="8" t="s">
        <v>27</v>
      </c>
      <c r="I915" s="9">
        <v>40810.769999999997</v>
      </c>
      <c r="J915" s="9">
        <v>61716.23</v>
      </c>
      <c r="K915" s="8" t="s">
        <v>68</v>
      </c>
      <c r="L915" s="10">
        <v>114857.29</v>
      </c>
      <c r="M915" s="8" t="s">
        <v>42</v>
      </c>
      <c r="N915" s="9">
        <v>0</v>
      </c>
      <c r="O915" s="8" t="s">
        <v>30</v>
      </c>
      <c r="P915" t="str">
        <f>TEXT(Table1[[#This Row],[Transaction_Date]],"mmm")</f>
        <v>Jul</v>
      </c>
      <c r="Q915" s="11">
        <v>45856</v>
      </c>
      <c r="R915" s="8" t="s">
        <v>2134</v>
      </c>
      <c r="S915" s="8" t="s">
        <v>54</v>
      </c>
      <c r="T915" s="9">
        <v>4583.5600000000004</v>
      </c>
      <c r="U915" t="s">
        <v>45</v>
      </c>
      <c r="V915" s="8" t="s">
        <v>62</v>
      </c>
      <c r="W915"/>
      <c r="X915"/>
    </row>
    <row r="916" spans="1:24" x14ac:dyDescent="0.3">
      <c r="A916" t="s">
        <v>2135</v>
      </c>
      <c r="B916" t="s">
        <v>168</v>
      </c>
      <c r="C916">
        <v>49</v>
      </c>
      <c r="D916" t="s">
        <v>84</v>
      </c>
      <c r="E916" t="s">
        <v>85</v>
      </c>
      <c r="F916" t="s">
        <v>84</v>
      </c>
      <c r="G916" t="s">
        <v>39</v>
      </c>
      <c r="H916" s="8" t="s">
        <v>27</v>
      </c>
      <c r="I916" s="9">
        <v>55114.52</v>
      </c>
      <c r="J916" s="9">
        <v>2742.09</v>
      </c>
      <c r="K916" s="8" t="s">
        <v>68</v>
      </c>
      <c r="L916" s="10">
        <v>42416.639999999999</v>
      </c>
      <c r="M916" s="8" t="s">
        <v>29</v>
      </c>
      <c r="N916" s="9">
        <v>14969.46</v>
      </c>
      <c r="O916" s="8" t="s">
        <v>30</v>
      </c>
      <c r="P916" t="str">
        <f>TEXT(Table1[[#This Row],[Transaction_Date]],"mmm")</f>
        <v>Mar</v>
      </c>
      <c r="Q916" s="11">
        <v>45721</v>
      </c>
      <c r="R916" s="8" t="s">
        <v>2136</v>
      </c>
      <c r="S916" s="8" t="s">
        <v>70</v>
      </c>
      <c r="T916" s="9">
        <v>1029.4100000000001</v>
      </c>
      <c r="U916" t="s">
        <v>71</v>
      </c>
      <c r="V916" s="8" t="s">
        <v>62</v>
      </c>
      <c r="W916"/>
      <c r="X916"/>
    </row>
    <row r="917" spans="1:24" x14ac:dyDescent="0.3">
      <c r="A917" t="s">
        <v>2137</v>
      </c>
      <c r="B917" t="s">
        <v>64</v>
      </c>
      <c r="C917">
        <v>54</v>
      </c>
      <c r="D917" t="s">
        <v>97</v>
      </c>
      <c r="E917" t="s">
        <v>98</v>
      </c>
      <c r="F917" t="s">
        <v>97</v>
      </c>
      <c r="G917" t="s">
        <v>39</v>
      </c>
      <c r="H917" s="8" t="s">
        <v>51</v>
      </c>
      <c r="I917" s="9">
        <v>56374.71</v>
      </c>
      <c r="J917" s="9">
        <v>55093.32</v>
      </c>
      <c r="K917" s="8" t="s">
        <v>52</v>
      </c>
      <c r="L917" s="10">
        <v>59029.3</v>
      </c>
      <c r="M917" s="8" t="s">
        <v>29</v>
      </c>
      <c r="N917" s="9">
        <v>48613.17</v>
      </c>
      <c r="O917" s="8" t="s">
        <v>30</v>
      </c>
      <c r="P917" t="str">
        <f>TEXT(Table1[[#This Row],[Transaction_Date]],"mmm")</f>
        <v>Jun</v>
      </c>
      <c r="Q917" s="11">
        <v>45832</v>
      </c>
      <c r="R917" s="8" t="s">
        <v>2138</v>
      </c>
      <c r="S917" s="8" t="s">
        <v>54</v>
      </c>
      <c r="T917" s="9">
        <v>8508.39</v>
      </c>
      <c r="U917" t="s">
        <v>77</v>
      </c>
      <c r="V917" s="8" t="s">
        <v>62</v>
      </c>
      <c r="W917"/>
      <c r="X917"/>
    </row>
    <row r="918" spans="1:24" x14ac:dyDescent="0.3">
      <c r="A918" t="s">
        <v>2139</v>
      </c>
      <c r="B918" t="s">
        <v>23</v>
      </c>
      <c r="C918">
        <v>44</v>
      </c>
      <c r="D918" t="s">
        <v>57</v>
      </c>
      <c r="E918" t="s">
        <v>58</v>
      </c>
      <c r="F918" t="s">
        <v>57</v>
      </c>
      <c r="G918" t="s">
        <v>39</v>
      </c>
      <c r="H918" s="8" t="s">
        <v>27</v>
      </c>
      <c r="I918" s="9">
        <v>14134.52</v>
      </c>
      <c r="J918" s="9">
        <v>5848.44</v>
      </c>
      <c r="K918" s="8" t="s">
        <v>59</v>
      </c>
      <c r="L918" s="10">
        <v>125079.33</v>
      </c>
      <c r="M918" s="8" t="s">
        <v>42</v>
      </c>
      <c r="N918" s="9">
        <v>0</v>
      </c>
      <c r="O918" s="8" t="s">
        <v>30</v>
      </c>
      <c r="P918" t="str">
        <f>TEXT(Table1[[#This Row],[Transaction_Date]],"mmm")</f>
        <v>Nov</v>
      </c>
      <c r="Q918" s="11">
        <v>45967</v>
      </c>
      <c r="R918" s="8" t="s">
        <v>2140</v>
      </c>
      <c r="S918" s="8" t="s">
        <v>54</v>
      </c>
      <c r="T918" s="9">
        <v>4154.72</v>
      </c>
      <c r="U918" t="s">
        <v>77</v>
      </c>
      <c r="V918" s="8" t="s">
        <v>46</v>
      </c>
      <c r="W918"/>
      <c r="X918"/>
    </row>
    <row r="919" spans="1:24" x14ac:dyDescent="0.3">
      <c r="A919" t="s">
        <v>2141</v>
      </c>
      <c r="B919" t="s">
        <v>251</v>
      </c>
      <c r="C919">
        <v>50</v>
      </c>
      <c r="D919" t="s">
        <v>57</v>
      </c>
      <c r="E919" t="s">
        <v>58</v>
      </c>
      <c r="F919" t="s">
        <v>57</v>
      </c>
      <c r="G919" t="s">
        <v>39</v>
      </c>
      <c r="H919" s="8" t="s">
        <v>27</v>
      </c>
      <c r="I919" s="9">
        <v>56166.9</v>
      </c>
      <c r="J919" s="9">
        <v>198221.44</v>
      </c>
      <c r="K919" s="8" t="s">
        <v>59</v>
      </c>
      <c r="L919" s="10">
        <v>51630.87</v>
      </c>
      <c r="M919" s="8" t="s">
        <v>29</v>
      </c>
      <c r="N919" s="9">
        <v>48542.2</v>
      </c>
      <c r="O919" s="8" t="s">
        <v>228</v>
      </c>
      <c r="P919" t="str">
        <f>TEXT(Table1[[#This Row],[Transaction_Date]],"mmm")</f>
        <v>Jun</v>
      </c>
      <c r="Q919" s="11">
        <v>45833</v>
      </c>
      <c r="R919" s="8" t="s">
        <v>2142</v>
      </c>
      <c r="S919" s="8" t="s">
        <v>32</v>
      </c>
      <c r="T919" s="9">
        <v>5131.24</v>
      </c>
      <c r="U919" t="s">
        <v>71</v>
      </c>
      <c r="V919" s="8" t="s">
        <v>62</v>
      </c>
      <c r="W919"/>
      <c r="X919"/>
    </row>
    <row r="920" spans="1:24" hidden="1" x14ac:dyDescent="0.3">
      <c r="A920" t="s">
        <v>2143</v>
      </c>
      <c r="B920" t="s">
        <v>368</v>
      </c>
      <c r="C920">
        <v>18</v>
      </c>
      <c r="D920" t="s">
        <v>57</v>
      </c>
      <c r="E920" t="s">
        <v>58</v>
      </c>
      <c r="F920" t="s">
        <v>57</v>
      </c>
      <c r="G920" t="s">
        <v>80</v>
      </c>
      <c r="H920" s="8" t="s">
        <v>67</v>
      </c>
      <c r="I920" s="9">
        <v>12000</v>
      </c>
      <c r="J920" s="9">
        <v>5064.32</v>
      </c>
      <c r="K920" s="8" t="s">
        <v>52</v>
      </c>
      <c r="L920" s="10">
        <v>47039.94</v>
      </c>
      <c r="M920" s="8" t="s">
        <v>42</v>
      </c>
      <c r="N920" s="9">
        <v>0</v>
      </c>
      <c r="O920" s="8" t="s">
        <v>30</v>
      </c>
      <c r="P920" t="str">
        <f>TEXT(Table1[[#This Row],[Transaction_Date]],"mmm")</f>
        <v>Aug</v>
      </c>
      <c r="Q920" s="11">
        <v>45885</v>
      </c>
      <c r="R920" s="8" t="s">
        <v>2144</v>
      </c>
      <c r="S920" s="8" t="s">
        <v>54</v>
      </c>
      <c r="T920" s="9">
        <v>3135.72</v>
      </c>
      <c r="U920" t="s">
        <v>33</v>
      </c>
      <c r="V920" s="8" t="s">
        <v>62</v>
      </c>
      <c r="W920"/>
      <c r="X920"/>
    </row>
    <row r="921" spans="1:24" x14ac:dyDescent="0.3">
      <c r="A921" t="s">
        <v>2145</v>
      </c>
      <c r="B921" t="s">
        <v>406</v>
      </c>
      <c r="C921">
        <v>32</v>
      </c>
      <c r="D921" t="s">
        <v>57</v>
      </c>
      <c r="E921" t="s">
        <v>58</v>
      </c>
      <c r="F921" t="s">
        <v>57</v>
      </c>
      <c r="G921" t="s">
        <v>39</v>
      </c>
      <c r="H921" s="8" t="s">
        <v>40</v>
      </c>
      <c r="I921" s="9">
        <v>66670.13</v>
      </c>
      <c r="J921" s="9">
        <v>9849.84</v>
      </c>
      <c r="K921" s="8" t="s">
        <v>59</v>
      </c>
      <c r="L921" s="10">
        <v>25000</v>
      </c>
      <c r="M921" s="8" t="s">
        <v>29</v>
      </c>
      <c r="N921" s="9">
        <v>5413.24</v>
      </c>
      <c r="O921" s="8" t="s">
        <v>30</v>
      </c>
      <c r="P921" t="str">
        <f>TEXT(Table1[[#This Row],[Transaction_Date]],"mmm")</f>
        <v>Jul</v>
      </c>
      <c r="Q921" s="11">
        <v>45858</v>
      </c>
      <c r="R921" s="8" t="s">
        <v>2146</v>
      </c>
      <c r="S921" s="8" t="s">
        <v>1527</v>
      </c>
      <c r="T921" s="9">
        <v>5167.32</v>
      </c>
      <c r="U921" t="s">
        <v>45</v>
      </c>
      <c r="V921" s="8" t="s">
        <v>62</v>
      </c>
      <c r="W921"/>
      <c r="X921"/>
    </row>
    <row r="922" spans="1:24" x14ac:dyDescent="0.3">
      <c r="A922" t="s">
        <v>2147</v>
      </c>
      <c r="B922" t="s">
        <v>807</v>
      </c>
      <c r="C922">
        <v>42</v>
      </c>
      <c r="D922" t="s">
        <v>97</v>
      </c>
      <c r="E922" t="s">
        <v>98</v>
      </c>
      <c r="F922" t="s">
        <v>97</v>
      </c>
      <c r="G922" t="s">
        <v>39</v>
      </c>
      <c r="H922" s="8" t="s">
        <v>27</v>
      </c>
      <c r="I922" s="9">
        <v>72463.59</v>
      </c>
      <c r="J922" s="9">
        <v>54230.26</v>
      </c>
      <c r="K922" s="8" t="s">
        <v>74</v>
      </c>
      <c r="L922" s="10">
        <v>0</v>
      </c>
      <c r="M922" s="8" t="s">
        <v>75</v>
      </c>
      <c r="N922" s="9">
        <v>0</v>
      </c>
      <c r="O922" s="8" t="s">
        <v>30</v>
      </c>
      <c r="P922" t="str">
        <f>TEXT(Table1[[#This Row],[Transaction_Date]],"mmm")</f>
        <v>Apr</v>
      </c>
      <c r="Q922" s="11">
        <v>45760</v>
      </c>
      <c r="R922" s="8" t="s">
        <v>2148</v>
      </c>
      <c r="S922" s="8" t="s">
        <v>32</v>
      </c>
      <c r="T922" s="9">
        <v>1056.27</v>
      </c>
      <c r="U922" t="s">
        <v>45</v>
      </c>
      <c r="V922" s="8" t="s">
        <v>62</v>
      </c>
      <c r="W922"/>
      <c r="X922"/>
    </row>
    <row r="923" spans="1:24" x14ac:dyDescent="0.3">
      <c r="A923" t="s">
        <v>2149</v>
      </c>
      <c r="B923" t="s">
        <v>1294</v>
      </c>
      <c r="C923">
        <v>34</v>
      </c>
      <c r="D923" t="s">
        <v>37</v>
      </c>
      <c r="E923" t="s">
        <v>38</v>
      </c>
      <c r="F923" t="s">
        <v>37</v>
      </c>
      <c r="G923" t="s">
        <v>39</v>
      </c>
      <c r="H923" s="8" t="s">
        <v>40</v>
      </c>
      <c r="I923" s="9">
        <v>44915.24</v>
      </c>
      <c r="J923" s="9">
        <v>12868.98</v>
      </c>
      <c r="K923" s="8" t="s">
        <v>41</v>
      </c>
      <c r="L923" s="10">
        <v>77809.8</v>
      </c>
      <c r="M923" s="8" t="s">
        <v>42</v>
      </c>
      <c r="N923" s="9">
        <v>0</v>
      </c>
      <c r="O923" s="8" t="s">
        <v>30</v>
      </c>
      <c r="P923" t="str">
        <f>TEXT(Table1[[#This Row],[Transaction_Date]],"mmm")</f>
        <v>Oct</v>
      </c>
      <c r="Q923" s="11">
        <v>45954</v>
      </c>
      <c r="R923" s="8" t="s">
        <v>2150</v>
      </c>
      <c r="S923" s="8" t="s">
        <v>70</v>
      </c>
      <c r="T923" s="9">
        <v>4196.8900000000003</v>
      </c>
      <c r="U923" t="s">
        <v>71</v>
      </c>
      <c r="V923" s="8" t="s">
        <v>62</v>
      </c>
      <c r="W923"/>
      <c r="X923"/>
    </row>
    <row r="924" spans="1:24" hidden="1" x14ac:dyDescent="0.3">
      <c r="A924" t="s">
        <v>2151</v>
      </c>
      <c r="B924" t="s">
        <v>442</v>
      </c>
      <c r="C924">
        <v>38</v>
      </c>
      <c r="D924" t="s">
        <v>65</v>
      </c>
      <c r="E924" t="s">
        <v>66</v>
      </c>
      <c r="F924" t="s">
        <v>65</v>
      </c>
      <c r="G924" t="s">
        <v>51</v>
      </c>
      <c r="H924" s="8" t="s">
        <v>51</v>
      </c>
      <c r="I924" s="9">
        <v>70705.62</v>
      </c>
      <c r="J924" s="9">
        <v>155093.87</v>
      </c>
      <c r="K924" s="8" t="s">
        <v>74</v>
      </c>
      <c r="L924" s="10">
        <v>0</v>
      </c>
      <c r="M924" s="8" t="s">
        <v>75</v>
      </c>
      <c r="N924" s="9">
        <v>0</v>
      </c>
      <c r="O924" s="8" t="s">
        <v>30</v>
      </c>
      <c r="P924" t="str">
        <f>TEXT(Table1[[#This Row],[Transaction_Date]],"mmm")</f>
        <v>Jul</v>
      </c>
      <c r="Q924" s="11">
        <v>45866</v>
      </c>
      <c r="R924" s="8" t="s">
        <v>2152</v>
      </c>
      <c r="S924" s="8" t="s">
        <v>44</v>
      </c>
      <c r="T924" s="9">
        <v>760.6</v>
      </c>
      <c r="U924" t="s">
        <v>106</v>
      </c>
      <c r="V924" s="8" t="s">
        <v>62</v>
      </c>
      <c r="W924"/>
      <c r="X924"/>
    </row>
    <row r="925" spans="1:24" hidden="1" x14ac:dyDescent="0.3">
      <c r="A925" t="s">
        <v>2153</v>
      </c>
      <c r="B925" t="s">
        <v>1412</v>
      </c>
      <c r="C925">
        <v>32</v>
      </c>
      <c r="D925" t="s">
        <v>49</v>
      </c>
      <c r="E925" t="s">
        <v>50</v>
      </c>
      <c r="F925" t="s">
        <v>49</v>
      </c>
      <c r="G925" t="s">
        <v>26</v>
      </c>
      <c r="H925" s="8" t="s">
        <v>40</v>
      </c>
      <c r="I925" s="9">
        <v>89426.14</v>
      </c>
      <c r="J925" s="9">
        <v>24937.11</v>
      </c>
      <c r="K925" s="8" t="s">
        <v>74</v>
      </c>
      <c r="L925" s="10">
        <v>0</v>
      </c>
      <c r="M925" s="8" t="s">
        <v>75</v>
      </c>
      <c r="N925" s="9">
        <v>0</v>
      </c>
      <c r="O925" s="8" t="s">
        <v>30</v>
      </c>
      <c r="P925" t="str">
        <f>TEXT(Table1[[#This Row],[Transaction_Date]],"mmm")</f>
        <v>Feb</v>
      </c>
      <c r="Q925" s="11">
        <v>45698</v>
      </c>
      <c r="R925" s="8" t="s">
        <v>2154</v>
      </c>
      <c r="S925" s="8" t="s">
        <v>70</v>
      </c>
      <c r="T925" s="9">
        <v>1568.46</v>
      </c>
      <c r="U925" t="s">
        <v>45</v>
      </c>
      <c r="V925" s="8" t="s">
        <v>62</v>
      </c>
      <c r="W925"/>
      <c r="X925"/>
    </row>
    <row r="926" spans="1:24" x14ac:dyDescent="0.3">
      <c r="A926" t="s">
        <v>2155</v>
      </c>
      <c r="B926" t="s">
        <v>429</v>
      </c>
      <c r="C926">
        <v>48</v>
      </c>
      <c r="D926" t="s">
        <v>92</v>
      </c>
      <c r="E926" t="s">
        <v>93</v>
      </c>
      <c r="F926" t="s">
        <v>92</v>
      </c>
      <c r="G926" t="s">
        <v>39</v>
      </c>
      <c r="H926" s="8" t="s">
        <v>40</v>
      </c>
      <c r="I926" s="9">
        <v>84249.75</v>
      </c>
      <c r="J926" s="9">
        <v>125512.36</v>
      </c>
      <c r="K926" s="8" t="s">
        <v>59</v>
      </c>
      <c r="L926" s="10">
        <v>38481.480000000003</v>
      </c>
      <c r="M926" s="8" t="s">
        <v>29</v>
      </c>
      <c r="N926" s="9">
        <v>8854.76</v>
      </c>
      <c r="O926" s="8" t="s">
        <v>30</v>
      </c>
      <c r="P926" t="str">
        <f>TEXT(Table1[[#This Row],[Transaction_Date]],"mmm")</f>
        <v>Mar</v>
      </c>
      <c r="Q926" s="11">
        <v>45734</v>
      </c>
      <c r="R926" s="8" t="s">
        <v>2156</v>
      </c>
      <c r="S926" s="8" t="s">
        <v>44</v>
      </c>
      <c r="T926" s="9">
        <v>1532.33</v>
      </c>
      <c r="U926" t="s">
        <v>106</v>
      </c>
      <c r="V926" s="8" t="s">
        <v>34</v>
      </c>
      <c r="W926"/>
      <c r="X926"/>
    </row>
    <row r="927" spans="1:24" x14ac:dyDescent="0.3">
      <c r="A927" t="s">
        <v>2157</v>
      </c>
      <c r="B927" t="s">
        <v>1113</v>
      </c>
      <c r="C927">
        <v>18</v>
      </c>
      <c r="D927" t="s">
        <v>37</v>
      </c>
      <c r="E927" t="s">
        <v>38</v>
      </c>
      <c r="F927" t="s">
        <v>37</v>
      </c>
      <c r="G927" t="s">
        <v>39</v>
      </c>
      <c r="H927" s="8" t="s">
        <v>40</v>
      </c>
      <c r="I927" s="9">
        <v>82582.17</v>
      </c>
      <c r="J927" s="9">
        <v>8675.51</v>
      </c>
      <c r="K927" s="8" t="s">
        <v>28</v>
      </c>
      <c r="L927" s="10">
        <v>33737.43</v>
      </c>
      <c r="M927" s="8" t="s">
        <v>29</v>
      </c>
      <c r="N927" s="9">
        <v>27777.86</v>
      </c>
      <c r="O927" s="8" t="s">
        <v>30</v>
      </c>
      <c r="P927" t="str">
        <f>TEXT(Table1[[#This Row],[Transaction_Date]],"mmm")</f>
        <v>Dec</v>
      </c>
      <c r="Q927" s="11">
        <v>46014</v>
      </c>
      <c r="R927" s="8" t="s">
        <v>2158</v>
      </c>
      <c r="S927" s="8" t="s">
        <v>32</v>
      </c>
      <c r="T927" s="9">
        <v>346.31</v>
      </c>
      <c r="U927" t="s">
        <v>45</v>
      </c>
      <c r="V927" s="8" t="s">
        <v>34</v>
      </c>
      <c r="W927"/>
      <c r="X927"/>
    </row>
    <row r="928" spans="1:24" x14ac:dyDescent="0.3">
      <c r="A928" t="s">
        <v>2159</v>
      </c>
      <c r="B928" t="s">
        <v>221</v>
      </c>
      <c r="C928">
        <v>38</v>
      </c>
      <c r="D928" t="s">
        <v>24</v>
      </c>
      <c r="E928" t="s">
        <v>25</v>
      </c>
      <c r="F928" t="s">
        <v>24</v>
      </c>
      <c r="G928" t="s">
        <v>39</v>
      </c>
      <c r="H928" s="8" t="s">
        <v>51</v>
      </c>
      <c r="I928" s="9">
        <v>28947.14</v>
      </c>
      <c r="J928" s="9">
        <v>9587.36</v>
      </c>
      <c r="K928" s="8" t="s">
        <v>28</v>
      </c>
      <c r="L928" s="10">
        <v>41191.26</v>
      </c>
      <c r="M928" s="8" t="s">
        <v>29</v>
      </c>
      <c r="N928" s="9">
        <v>31108.82</v>
      </c>
      <c r="O928" s="8" t="s">
        <v>30</v>
      </c>
      <c r="P928" t="str">
        <f>TEXT(Table1[[#This Row],[Transaction_Date]],"mmm")</f>
        <v>Nov</v>
      </c>
      <c r="Q928" s="11">
        <v>45985</v>
      </c>
      <c r="R928" s="8" t="s">
        <v>2160</v>
      </c>
      <c r="S928" s="8" t="s">
        <v>32</v>
      </c>
      <c r="T928" s="9">
        <v>3821.73</v>
      </c>
      <c r="U928" t="s">
        <v>106</v>
      </c>
      <c r="V928" s="8" t="s">
        <v>62</v>
      </c>
      <c r="W928"/>
      <c r="X928"/>
    </row>
    <row r="929" spans="1:24" x14ac:dyDescent="0.3">
      <c r="A929" t="s">
        <v>2161</v>
      </c>
      <c r="B929" t="s">
        <v>442</v>
      </c>
      <c r="C929">
        <v>34</v>
      </c>
      <c r="D929" t="s">
        <v>49</v>
      </c>
      <c r="E929" t="s">
        <v>50</v>
      </c>
      <c r="F929" t="s">
        <v>49</v>
      </c>
      <c r="G929" t="s">
        <v>39</v>
      </c>
      <c r="H929" s="8" t="s">
        <v>51</v>
      </c>
      <c r="I929" s="9">
        <v>12000</v>
      </c>
      <c r="J929" s="9">
        <v>37054.14</v>
      </c>
      <c r="K929" s="8" t="s">
        <v>74</v>
      </c>
      <c r="L929" s="10">
        <v>0</v>
      </c>
      <c r="M929" s="8" t="s">
        <v>75</v>
      </c>
      <c r="N929" s="9">
        <v>0</v>
      </c>
      <c r="O929" s="8" t="s">
        <v>30</v>
      </c>
      <c r="P929" t="str">
        <f>TEXT(Table1[[#This Row],[Transaction_Date]],"mmm")</f>
        <v>Nov</v>
      </c>
      <c r="Q929" s="11">
        <v>45963</v>
      </c>
      <c r="R929" s="8" t="s">
        <v>2162</v>
      </c>
      <c r="S929" s="8" t="s">
        <v>32</v>
      </c>
      <c r="T929" s="9">
        <v>1638.41</v>
      </c>
      <c r="U929" t="s">
        <v>33</v>
      </c>
      <c r="V929" s="8" t="s">
        <v>62</v>
      </c>
      <c r="W929"/>
      <c r="X929"/>
    </row>
    <row r="930" spans="1:24" hidden="1" x14ac:dyDescent="0.3">
      <c r="A930" t="s">
        <v>2163</v>
      </c>
      <c r="B930" t="s">
        <v>1531</v>
      </c>
      <c r="C930">
        <v>25</v>
      </c>
      <c r="D930" t="s">
        <v>84</v>
      </c>
      <c r="E930" t="s">
        <v>85</v>
      </c>
      <c r="F930" t="s">
        <v>84</v>
      </c>
      <c r="G930" t="s">
        <v>51</v>
      </c>
      <c r="H930" s="8" t="s">
        <v>51</v>
      </c>
      <c r="I930" s="9">
        <v>66526.94</v>
      </c>
      <c r="J930" s="9">
        <v>16933.560000000001</v>
      </c>
      <c r="K930" s="8" t="s">
        <v>59</v>
      </c>
      <c r="L930" s="10">
        <v>110614.23</v>
      </c>
      <c r="M930" s="8" t="s">
        <v>29</v>
      </c>
      <c r="N930" s="9">
        <v>40294.42</v>
      </c>
      <c r="O930" s="8" t="s">
        <v>30</v>
      </c>
      <c r="P930" t="str">
        <f>TEXT(Table1[[#This Row],[Transaction_Date]],"mmm")</f>
        <v>Nov</v>
      </c>
      <c r="Q930" s="11">
        <v>45982</v>
      </c>
      <c r="R930" s="8" t="s">
        <v>2164</v>
      </c>
      <c r="S930" s="8" t="s">
        <v>44</v>
      </c>
      <c r="T930" s="9">
        <v>1835.23</v>
      </c>
      <c r="U930" t="s">
        <v>33</v>
      </c>
      <c r="V930" s="8" t="s">
        <v>46</v>
      </c>
      <c r="W930"/>
      <c r="X930"/>
    </row>
    <row r="931" spans="1:24" x14ac:dyDescent="0.3">
      <c r="A931" t="s">
        <v>2165</v>
      </c>
      <c r="B931" t="s">
        <v>368</v>
      </c>
      <c r="C931">
        <v>38</v>
      </c>
      <c r="D931" t="s">
        <v>57</v>
      </c>
      <c r="E931" t="s">
        <v>58</v>
      </c>
      <c r="F931" t="s">
        <v>57</v>
      </c>
      <c r="G931" t="s">
        <v>39</v>
      </c>
      <c r="H931" s="8" t="s">
        <v>40</v>
      </c>
      <c r="I931" s="9">
        <v>74861.179999999993</v>
      </c>
      <c r="J931" s="9">
        <v>14562.63</v>
      </c>
      <c r="K931" s="8" t="s">
        <v>74</v>
      </c>
      <c r="L931" s="10">
        <v>0</v>
      </c>
      <c r="M931" s="8" t="s">
        <v>75</v>
      </c>
      <c r="N931" s="9">
        <v>0</v>
      </c>
      <c r="O931" s="8" t="s">
        <v>30</v>
      </c>
      <c r="P931" t="str">
        <f>TEXT(Table1[[#This Row],[Transaction_Date]],"mmm")</f>
        <v>Feb</v>
      </c>
      <c r="Q931" s="11">
        <v>45698</v>
      </c>
      <c r="R931" s="8" t="s">
        <v>2166</v>
      </c>
      <c r="S931" s="8" t="s">
        <v>54</v>
      </c>
      <c r="T931" s="9">
        <v>2615.54</v>
      </c>
      <c r="U931" t="s">
        <v>71</v>
      </c>
      <c r="V931" s="8" t="s">
        <v>62</v>
      </c>
      <c r="W931"/>
      <c r="X931"/>
    </row>
    <row r="932" spans="1:24" hidden="1" x14ac:dyDescent="0.3">
      <c r="A932" t="s">
        <v>2167</v>
      </c>
      <c r="B932" t="s">
        <v>418</v>
      </c>
      <c r="C932">
        <v>31</v>
      </c>
      <c r="D932" t="s">
        <v>65</v>
      </c>
      <c r="E932" t="s">
        <v>66</v>
      </c>
      <c r="F932" t="s">
        <v>65</v>
      </c>
      <c r="G932" t="s">
        <v>51</v>
      </c>
      <c r="H932" s="8" t="s">
        <v>67</v>
      </c>
      <c r="I932" s="9">
        <v>21559.4</v>
      </c>
      <c r="J932" s="9">
        <v>17253.68</v>
      </c>
      <c r="K932" s="8" t="s">
        <v>74</v>
      </c>
      <c r="L932" s="10">
        <v>0</v>
      </c>
      <c r="M932" s="8" t="s">
        <v>75</v>
      </c>
      <c r="N932" s="9">
        <v>0</v>
      </c>
      <c r="O932" s="8" t="s">
        <v>30</v>
      </c>
      <c r="P932" t="str">
        <f>TEXT(Table1[[#This Row],[Transaction_Date]],"mmm")</f>
        <v>Apr</v>
      </c>
      <c r="Q932" s="11">
        <v>45773</v>
      </c>
      <c r="R932" s="8" t="s">
        <v>2168</v>
      </c>
      <c r="S932" s="8" t="s">
        <v>44</v>
      </c>
      <c r="T932" s="9">
        <v>617.09</v>
      </c>
      <c r="U932" t="s">
        <v>106</v>
      </c>
      <c r="V932" s="8" t="s">
        <v>62</v>
      </c>
      <c r="W932"/>
      <c r="X932"/>
    </row>
    <row r="933" spans="1:24" x14ac:dyDescent="0.3">
      <c r="A933" t="s">
        <v>2169</v>
      </c>
      <c r="B933" t="s">
        <v>870</v>
      </c>
      <c r="C933">
        <v>53</v>
      </c>
      <c r="D933" t="s">
        <v>24</v>
      </c>
      <c r="E933" t="s">
        <v>25</v>
      </c>
      <c r="F933" t="s">
        <v>24</v>
      </c>
      <c r="G933" t="s">
        <v>39</v>
      </c>
      <c r="H933" s="8" t="s">
        <v>67</v>
      </c>
      <c r="I933" s="9">
        <v>46988.85</v>
      </c>
      <c r="J933" s="9">
        <v>2851.25</v>
      </c>
      <c r="K933" s="8" t="s">
        <v>74</v>
      </c>
      <c r="L933" s="10">
        <v>0</v>
      </c>
      <c r="M933" s="8" t="s">
        <v>75</v>
      </c>
      <c r="N933" s="9">
        <v>0</v>
      </c>
      <c r="O933" s="8" t="s">
        <v>30</v>
      </c>
      <c r="P933" t="str">
        <f>TEXT(Table1[[#This Row],[Transaction_Date]],"mmm")</f>
        <v>May</v>
      </c>
      <c r="Q933" s="11">
        <v>45794</v>
      </c>
      <c r="R933" s="8" t="s">
        <v>2170</v>
      </c>
      <c r="S933" s="8" t="s">
        <v>54</v>
      </c>
      <c r="T933" s="9">
        <v>24785.33</v>
      </c>
      <c r="U933" t="s">
        <v>61</v>
      </c>
      <c r="V933" s="8" t="s">
        <v>46</v>
      </c>
      <c r="W933"/>
      <c r="X933"/>
    </row>
    <row r="934" spans="1:24" hidden="1" x14ac:dyDescent="0.3">
      <c r="A934" t="s">
        <v>2171</v>
      </c>
      <c r="B934" t="s">
        <v>135</v>
      </c>
      <c r="C934">
        <v>22</v>
      </c>
      <c r="D934" t="s">
        <v>92</v>
      </c>
      <c r="E934" t="s">
        <v>93</v>
      </c>
      <c r="F934" t="s">
        <v>92</v>
      </c>
      <c r="G934" t="s">
        <v>80</v>
      </c>
      <c r="H934" s="8" t="s">
        <v>40</v>
      </c>
      <c r="I934" s="9">
        <v>108707.63</v>
      </c>
      <c r="J934" s="9">
        <v>49793.82</v>
      </c>
      <c r="K934" s="8" t="s">
        <v>28</v>
      </c>
      <c r="L934" s="10">
        <v>94573.48</v>
      </c>
      <c r="M934" s="8" t="s">
        <v>29</v>
      </c>
      <c r="N934" s="9">
        <v>65314.93</v>
      </c>
      <c r="O934" s="8" t="s">
        <v>30</v>
      </c>
      <c r="P934" t="str">
        <f>TEXT(Table1[[#This Row],[Transaction_Date]],"mmm")</f>
        <v>Jan</v>
      </c>
      <c r="Q934" s="11">
        <v>45658</v>
      </c>
      <c r="R934" s="8" t="s">
        <v>2172</v>
      </c>
      <c r="S934" s="8" t="s">
        <v>32</v>
      </c>
      <c r="T934" s="9">
        <v>403</v>
      </c>
      <c r="U934" t="s">
        <v>106</v>
      </c>
      <c r="V934" s="8" t="s">
        <v>62</v>
      </c>
      <c r="W934"/>
      <c r="X934"/>
    </row>
    <row r="935" spans="1:24" hidden="1" x14ac:dyDescent="0.3">
      <c r="A935" t="s">
        <v>2173</v>
      </c>
      <c r="B935" t="s">
        <v>390</v>
      </c>
      <c r="C935">
        <v>62</v>
      </c>
      <c r="D935" t="s">
        <v>24</v>
      </c>
      <c r="E935" t="s">
        <v>25</v>
      </c>
      <c r="F935" t="s">
        <v>24</v>
      </c>
      <c r="G935" t="s">
        <v>80</v>
      </c>
      <c r="H935" s="8" t="s">
        <v>40</v>
      </c>
      <c r="I935" s="9">
        <v>82922.12</v>
      </c>
      <c r="J935" s="9">
        <v>20927.759999999998</v>
      </c>
      <c r="K935" s="8" t="s">
        <v>28</v>
      </c>
      <c r="L935" s="10">
        <v>72854.080000000002</v>
      </c>
      <c r="M935" s="8" t="s">
        <v>29</v>
      </c>
      <c r="N935" s="9">
        <v>24616.25</v>
      </c>
      <c r="O935" s="8" t="s">
        <v>228</v>
      </c>
      <c r="P935" t="str">
        <f>TEXT(Table1[[#This Row],[Transaction_Date]],"mmm")</f>
        <v>Aug</v>
      </c>
      <c r="Q935" s="11">
        <v>45896</v>
      </c>
      <c r="R935" s="8" t="s">
        <v>2174</v>
      </c>
      <c r="S935" s="8" t="s">
        <v>44</v>
      </c>
      <c r="T935" s="9">
        <v>3905</v>
      </c>
      <c r="U935" t="s">
        <v>61</v>
      </c>
      <c r="V935" s="8" t="s">
        <v>62</v>
      </c>
      <c r="W935"/>
      <c r="X935"/>
    </row>
    <row r="936" spans="1:24" x14ac:dyDescent="0.3">
      <c r="A936" t="s">
        <v>2175</v>
      </c>
      <c r="B936" t="s">
        <v>341</v>
      </c>
      <c r="C936">
        <v>36</v>
      </c>
      <c r="D936" t="s">
        <v>92</v>
      </c>
      <c r="E936" t="s">
        <v>93</v>
      </c>
      <c r="F936" t="s">
        <v>92</v>
      </c>
      <c r="G936" t="s">
        <v>39</v>
      </c>
      <c r="H936" s="8" t="s">
        <v>40</v>
      </c>
      <c r="I936" s="9">
        <v>78877.86</v>
      </c>
      <c r="J936" s="9">
        <v>7241.47</v>
      </c>
      <c r="K936" s="8" t="s">
        <v>74</v>
      </c>
      <c r="L936" s="10">
        <v>0</v>
      </c>
      <c r="M936" s="8" t="s">
        <v>75</v>
      </c>
      <c r="N936" s="9">
        <v>0</v>
      </c>
      <c r="O936" s="8" t="s">
        <v>30</v>
      </c>
      <c r="P936" t="str">
        <f>TEXT(Table1[[#This Row],[Transaction_Date]],"mmm")</f>
        <v>May</v>
      </c>
      <c r="Q936" s="11">
        <v>45791</v>
      </c>
      <c r="R936" s="8" t="s">
        <v>2176</v>
      </c>
      <c r="S936" s="8" t="s">
        <v>54</v>
      </c>
      <c r="T936" s="9">
        <v>3307.86</v>
      </c>
      <c r="U936" t="s">
        <v>61</v>
      </c>
      <c r="V936" s="8" t="s">
        <v>62</v>
      </c>
      <c r="W936"/>
      <c r="X936"/>
    </row>
    <row r="937" spans="1:24" x14ac:dyDescent="0.3">
      <c r="A937" t="s">
        <v>2177</v>
      </c>
      <c r="B937" t="s">
        <v>626</v>
      </c>
      <c r="C937">
        <v>42</v>
      </c>
      <c r="D937" t="s">
        <v>37</v>
      </c>
      <c r="E937" t="s">
        <v>38</v>
      </c>
      <c r="F937" t="s">
        <v>37</v>
      </c>
      <c r="G937" t="s">
        <v>39</v>
      </c>
      <c r="H937" s="8" t="s">
        <v>51</v>
      </c>
      <c r="I937" s="9">
        <v>44539.34</v>
      </c>
      <c r="J937" s="9">
        <v>45357.42</v>
      </c>
      <c r="K937" s="8" t="s">
        <v>74</v>
      </c>
      <c r="L937" s="10">
        <v>0</v>
      </c>
      <c r="M937" s="8" t="s">
        <v>75</v>
      </c>
      <c r="N937" s="9">
        <v>0</v>
      </c>
      <c r="O937" s="8" t="s">
        <v>30</v>
      </c>
      <c r="P937" t="str">
        <f>TEXT(Table1[[#This Row],[Transaction_Date]],"mmm")</f>
        <v>Jul</v>
      </c>
      <c r="Q937" s="11">
        <v>45865</v>
      </c>
      <c r="R937" s="8" t="s">
        <v>2178</v>
      </c>
      <c r="S937" s="8" t="s">
        <v>54</v>
      </c>
      <c r="T937" s="9">
        <v>2148.75</v>
      </c>
      <c r="U937" t="s">
        <v>106</v>
      </c>
      <c r="V937" s="8" t="s">
        <v>34</v>
      </c>
      <c r="W937"/>
      <c r="X937"/>
    </row>
    <row r="938" spans="1:24" hidden="1" x14ac:dyDescent="0.3">
      <c r="A938" t="s">
        <v>2179</v>
      </c>
      <c r="B938" t="s">
        <v>563</v>
      </c>
      <c r="C938">
        <v>60</v>
      </c>
      <c r="D938" t="s">
        <v>92</v>
      </c>
      <c r="E938" t="s">
        <v>93</v>
      </c>
      <c r="F938" t="s">
        <v>92</v>
      </c>
      <c r="G938" t="s">
        <v>80</v>
      </c>
      <c r="H938" s="8" t="s">
        <v>40</v>
      </c>
      <c r="I938" s="9">
        <v>41094.480000000003</v>
      </c>
      <c r="J938" s="9">
        <v>26895.94</v>
      </c>
      <c r="K938" s="8" t="s">
        <v>74</v>
      </c>
      <c r="L938" s="10">
        <v>0</v>
      </c>
      <c r="M938" s="8" t="s">
        <v>75</v>
      </c>
      <c r="N938" s="9">
        <v>0</v>
      </c>
      <c r="O938" s="8" t="s">
        <v>30</v>
      </c>
      <c r="P938" t="str">
        <f>TEXT(Table1[[#This Row],[Transaction_Date]],"mmm")</f>
        <v>May</v>
      </c>
      <c r="Q938" s="11">
        <v>45797</v>
      </c>
      <c r="R938" s="8" t="s">
        <v>2180</v>
      </c>
      <c r="S938" s="8" t="s">
        <v>54</v>
      </c>
      <c r="T938" s="9">
        <v>1268.4100000000001</v>
      </c>
      <c r="U938" t="s">
        <v>71</v>
      </c>
      <c r="V938" s="8" t="s">
        <v>46</v>
      </c>
      <c r="W938"/>
      <c r="X938"/>
    </row>
    <row r="939" spans="1:24" hidden="1" x14ac:dyDescent="0.3">
      <c r="A939" t="s">
        <v>2181</v>
      </c>
      <c r="B939" t="s">
        <v>455</v>
      </c>
      <c r="C939">
        <v>48</v>
      </c>
      <c r="D939" t="s">
        <v>57</v>
      </c>
      <c r="E939" t="s">
        <v>58</v>
      </c>
      <c r="F939" t="s">
        <v>57</v>
      </c>
      <c r="G939" t="s">
        <v>26</v>
      </c>
      <c r="H939" s="8" t="s">
        <v>40</v>
      </c>
      <c r="I939" s="9">
        <v>57841.69</v>
      </c>
      <c r="J939" s="9">
        <v>19400.439999999999</v>
      </c>
      <c r="K939" s="8" t="s">
        <v>74</v>
      </c>
      <c r="L939" s="10">
        <v>0</v>
      </c>
      <c r="M939" s="8" t="s">
        <v>75</v>
      </c>
      <c r="N939" s="9">
        <v>0</v>
      </c>
      <c r="O939" s="8" t="s">
        <v>30</v>
      </c>
      <c r="P939" t="str">
        <f>TEXT(Table1[[#This Row],[Transaction_Date]],"mmm")</f>
        <v>Oct</v>
      </c>
      <c r="Q939" s="11">
        <v>45945</v>
      </c>
      <c r="R939" s="8" t="s">
        <v>2182</v>
      </c>
      <c r="S939" s="8" t="s">
        <v>54</v>
      </c>
      <c r="T939" s="9">
        <v>2844.48</v>
      </c>
      <c r="U939" t="s">
        <v>61</v>
      </c>
      <c r="V939" s="8" t="s">
        <v>46</v>
      </c>
      <c r="W939"/>
      <c r="X939"/>
    </row>
    <row r="940" spans="1:24" x14ac:dyDescent="0.3">
      <c r="A940" t="s">
        <v>2183</v>
      </c>
      <c r="B940" t="s">
        <v>870</v>
      </c>
      <c r="C940">
        <v>23</v>
      </c>
      <c r="D940" t="s">
        <v>37</v>
      </c>
      <c r="E940" t="s">
        <v>38</v>
      </c>
      <c r="F940" t="s">
        <v>37</v>
      </c>
      <c r="G940" t="s">
        <v>39</v>
      </c>
      <c r="H940" s="8" t="s">
        <v>40</v>
      </c>
      <c r="I940" s="9">
        <v>38328.620000000003</v>
      </c>
      <c r="J940" s="9">
        <v>33424.879999999997</v>
      </c>
      <c r="K940" s="8" t="s">
        <v>68</v>
      </c>
      <c r="L940" s="10">
        <v>25000</v>
      </c>
      <c r="M940" s="8" t="s">
        <v>42</v>
      </c>
      <c r="N940" s="9">
        <v>0</v>
      </c>
      <c r="O940" s="8" t="s">
        <v>30</v>
      </c>
      <c r="P940" t="str">
        <f>TEXT(Table1[[#This Row],[Transaction_Date]],"mmm")</f>
        <v>Jul</v>
      </c>
      <c r="Q940" s="11">
        <v>45857</v>
      </c>
      <c r="R940" s="8" t="s">
        <v>2184</v>
      </c>
      <c r="S940" s="8" t="s">
        <v>70</v>
      </c>
      <c r="T940" s="9">
        <v>28230.75</v>
      </c>
      <c r="U940" t="s">
        <v>106</v>
      </c>
      <c r="V940" s="8" t="s">
        <v>62</v>
      </c>
      <c r="W940"/>
      <c r="X940"/>
    </row>
    <row r="941" spans="1:24" hidden="1" x14ac:dyDescent="0.3">
      <c r="A941" t="s">
        <v>2185</v>
      </c>
      <c r="B941" t="s">
        <v>243</v>
      </c>
      <c r="C941">
        <v>36</v>
      </c>
      <c r="D941" t="s">
        <v>97</v>
      </c>
      <c r="E941" t="s">
        <v>98</v>
      </c>
      <c r="F941" t="s">
        <v>97</v>
      </c>
      <c r="G941" t="s">
        <v>80</v>
      </c>
      <c r="H941" s="8" t="s">
        <v>40</v>
      </c>
      <c r="I941" s="9">
        <v>110946.84</v>
      </c>
      <c r="J941" s="9">
        <v>3497.79</v>
      </c>
      <c r="K941" s="8" t="s">
        <v>59</v>
      </c>
      <c r="L941" s="10">
        <v>25000</v>
      </c>
      <c r="M941" s="8" t="s">
        <v>42</v>
      </c>
      <c r="N941" s="9">
        <v>0</v>
      </c>
      <c r="O941" s="8" t="s">
        <v>30</v>
      </c>
      <c r="P941" t="str">
        <f>TEXT(Table1[[#This Row],[Transaction_Date]],"mmm")</f>
        <v>Jan</v>
      </c>
      <c r="Q941" s="11">
        <v>45677</v>
      </c>
      <c r="R941" s="8" t="s">
        <v>2186</v>
      </c>
      <c r="S941" s="8" t="s">
        <v>70</v>
      </c>
      <c r="T941" s="9">
        <v>1768.12</v>
      </c>
      <c r="U941" t="s">
        <v>33</v>
      </c>
      <c r="V941" s="8" t="s">
        <v>62</v>
      </c>
      <c r="W941"/>
      <c r="X941"/>
    </row>
    <row r="942" spans="1:24" x14ac:dyDescent="0.3">
      <c r="A942" t="s">
        <v>2187</v>
      </c>
      <c r="B942" t="s">
        <v>353</v>
      </c>
      <c r="C942">
        <v>34</v>
      </c>
      <c r="D942" t="s">
        <v>65</v>
      </c>
      <c r="E942" t="s">
        <v>66</v>
      </c>
      <c r="F942" t="s">
        <v>65</v>
      </c>
      <c r="G942" t="s">
        <v>39</v>
      </c>
      <c r="H942" s="8" t="s">
        <v>27</v>
      </c>
      <c r="I942" s="9">
        <v>67537.279999999999</v>
      </c>
      <c r="J942" s="9">
        <v>33374.17</v>
      </c>
      <c r="K942" s="8" t="s">
        <v>74</v>
      </c>
      <c r="L942" s="10">
        <v>0</v>
      </c>
      <c r="M942" s="8" t="s">
        <v>75</v>
      </c>
      <c r="N942" s="9">
        <v>0</v>
      </c>
      <c r="O942" s="8" t="s">
        <v>30</v>
      </c>
      <c r="P942" t="str">
        <f>TEXT(Table1[[#This Row],[Transaction_Date]],"mmm")</f>
        <v>Oct</v>
      </c>
      <c r="Q942" s="11">
        <v>45952</v>
      </c>
      <c r="R942" s="8" t="s">
        <v>2188</v>
      </c>
      <c r="S942" s="8" t="s">
        <v>44</v>
      </c>
      <c r="T942" s="9">
        <v>1364.55</v>
      </c>
      <c r="U942" t="s">
        <v>33</v>
      </c>
      <c r="V942" s="8" t="s">
        <v>62</v>
      </c>
      <c r="W942"/>
      <c r="X942"/>
    </row>
    <row r="943" spans="1:24" x14ac:dyDescent="0.3">
      <c r="A943" t="s">
        <v>2189</v>
      </c>
      <c r="B943" t="s">
        <v>527</v>
      </c>
      <c r="C943">
        <v>44</v>
      </c>
      <c r="D943" t="s">
        <v>57</v>
      </c>
      <c r="E943" t="s">
        <v>58</v>
      </c>
      <c r="F943" t="s">
        <v>57</v>
      </c>
      <c r="G943" t="s">
        <v>39</v>
      </c>
      <c r="H943" s="8" t="s">
        <v>67</v>
      </c>
      <c r="I943" s="9">
        <v>19127.34</v>
      </c>
      <c r="J943" s="9">
        <v>5667.3</v>
      </c>
      <c r="K943" s="8" t="s">
        <v>74</v>
      </c>
      <c r="L943" s="10">
        <v>0</v>
      </c>
      <c r="M943" s="8" t="s">
        <v>75</v>
      </c>
      <c r="N943" s="9">
        <v>0</v>
      </c>
      <c r="O943" s="8" t="s">
        <v>30</v>
      </c>
      <c r="P943" t="str">
        <f>TEXT(Table1[[#This Row],[Transaction_Date]],"mmm")</f>
        <v>Jun</v>
      </c>
      <c r="Q943" s="11">
        <v>45836</v>
      </c>
      <c r="R943" s="8" t="s">
        <v>2190</v>
      </c>
      <c r="S943" s="8" t="s">
        <v>54</v>
      </c>
      <c r="T943" s="9">
        <v>6619.69</v>
      </c>
      <c r="U943" t="s">
        <v>45</v>
      </c>
      <c r="V943" s="8" t="s">
        <v>46</v>
      </c>
      <c r="W943"/>
      <c r="X943"/>
    </row>
    <row r="944" spans="1:24" x14ac:dyDescent="0.3">
      <c r="A944" t="s">
        <v>2191</v>
      </c>
      <c r="B944" t="s">
        <v>1068</v>
      </c>
      <c r="C944">
        <v>29</v>
      </c>
      <c r="D944" t="s">
        <v>97</v>
      </c>
      <c r="E944" t="s">
        <v>98</v>
      </c>
      <c r="F944" t="s">
        <v>97</v>
      </c>
      <c r="G944" t="s">
        <v>39</v>
      </c>
      <c r="H944" s="8" t="s">
        <v>40</v>
      </c>
      <c r="I944" s="9">
        <v>95785.72</v>
      </c>
      <c r="J944" s="9">
        <v>17669.759999999998</v>
      </c>
      <c r="K944" s="8" t="s">
        <v>68</v>
      </c>
      <c r="L944" s="10">
        <v>199075.59</v>
      </c>
      <c r="M944" s="8" t="s">
        <v>29</v>
      </c>
      <c r="N944" s="9">
        <v>92448.48</v>
      </c>
      <c r="O944" s="8" t="s">
        <v>30</v>
      </c>
      <c r="P944" t="str">
        <f>TEXT(Table1[[#This Row],[Transaction_Date]],"mmm")</f>
        <v>Mar</v>
      </c>
      <c r="Q944" s="11">
        <v>45719</v>
      </c>
      <c r="R944" s="8" t="s">
        <v>2192</v>
      </c>
      <c r="S944" s="8" t="s">
        <v>54</v>
      </c>
      <c r="T944" s="9">
        <v>14607.36</v>
      </c>
      <c r="U944" t="s">
        <v>61</v>
      </c>
      <c r="V944" s="8" t="s">
        <v>46</v>
      </c>
      <c r="W944"/>
      <c r="X944"/>
    </row>
    <row r="945" spans="1:24" x14ac:dyDescent="0.3">
      <c r="A945" t="s">
        <v>2193</v>
      </c>
      <c r="B945" t="s">
        <v>101</v>
      </c>
      <c r="C945">
        <v>33</v>
      </c>
      <c r="D945" t="s">
        <v>92</v>
      </c>
      <c r="E945" t="s">
        <v>93</v>
      </c>
      <c r="F945" t="s">
        <v>92</v>
      </c>
      <c r="G945" t="s">
        <v>39</v>
      </c>
      <c r="H945" s="8" t="s">
        <v>51</v>
      </c>
      <c r="I945" s="9">
        <v>52751.45</v>
      </c>
      <c r="J945" s="9">
        <v>13685.43</v>
      </c>
      <c r="K945" s="8" t="s">
        <v>74</v>
      </c>
      <c r="L945" s="10">
        <v>0</v>
      </c>
      <c r="M945" s="8" t="s">
        <v>75</v>
      </c>
      <c r="N945" s="9">
        <v>0</v>
      </c>
      <c r="O945" s="8" t="s">
        <v>30</v>
      </c>
      <c r="P945" t="str">
        <f>TEXT(Table1[[#This Row],[Transaction_Date]],"mmm")</f>
        <v>Apr</v>
      </c>
      <c r="Q945" s="11">
        <v>45755</v>
      </c>
      <c r="R945" s="8" t="s">
        <v>2194</v>
      </c>
      <c r="S945" s="8" t="s">
        <v>32</v>
      </c>
      <c r="T945" s="9">
        <v>2632.66</v>
      </c>
      <c r="U945" t="s">
        <v>33</v>
      </c>
      <c r="V945" s="8" t="s">
        <v>62</v>
      </c>
      <c r="W945"/>
      <c r="X945"/>
    </row>
    <row r="946" spans="1:24" hidden="1" x14ac:dyDescent="0.3">
      <c r="A946" t="s">
        <v>2195</v>
      </c>
      <c r="B946" t="s">
        <v>812</v>
      </c>
      <c r="C946">
        <v>37</v>
      </c>
      <c r="D946" t="s">
        <v>57</v>
      </c>
      <c r="E946" t="s">
        <v>58</v>
      </c>
      <c r="F946" t="s">
        <v>57</v>
      </c>
      <c r="G946" t="s">
        <v>80</v>
      </c>
      <c r="H946" s="8" t="s">
        <v>67</v>
      </c>
      <c r="I946" s="9">
        <v>12000</v>
      </c>
      <c r="J946" s="9">
        <v>26092.27</v>
      </c>
      <c r="K946" s="8" t="s">
        <v>68</v>
      </c>
      <c r="L946" s="10">
        <v>29365.5</v>
      </c>
      <c r="M946" s="8" t="s">
        <v>42</v>
      </c>
      <c r="N946" s="9">
        <v>0</v>
      </c>
      <c r="O946" s="8" t="s">
        <v>30</v>
      </c>
      <c r="P946" t="str">
        <f>TEXT(Table1[[#This Row],[Transaction_Date]],"mmm")</f>
        <v>Jan</v>
      </c>
      <c r="Q946" s="11">
        <v>45666</v>
      </c>
      <c r="R946" s="8" t="s">
        <v>2196</v>
      </c>
      <c r="S946" s="8" t="s">
        <v>70</v>
      </c>
      <c r="T946" s="9">
        <v>3408.45</v>
      </c>
      <c r="U946" t="s">
        <v>106</v>
      </c>
      <c r="V946" s="8" t="s">
        <v>46</v>
      </c>
      <c r="W946"/>
      <c r="X946"/>
    </row>
    <row r="947" spans="1:24" hidden="1" x14ac:dyDescent="0.3">
      <c r="A947" t="s">
        <v>2197</v>
      </c>
      <c r="B947" t="s">
        <v>662</v>
      </c>
      <c r="C947">
        <v>33</v>
      </c>
      <c r="D947" t="s">
        <v>65</v>
      </c>
      <c r="E947" t="s">
        <v>66</v>
      </c>
      <c r="F947" t="s">
        <v>65</v>
      </c>
      <c r="G947" t="s">
        <v>26</v>
      </c>
      <c r="H947" s="8" t="s">
        <v>67</v>
      </c>
      <c r="I947" s="9">
        <v>35310.42</v>
      </c>
      <c r="J947" s="9">
        <v>50133.59</v>
      </c>
      <c r="K947" s="8" t="s">
        <v>74</v>
      </c>
      <c r="L947" s="10">
        <v>0</v>
      </c>
      <c r="M947" s="8" t="s">
        <v>75</v>
      </c>
      <c r="N947" s="9">
        <v>0</v>
      </c>
      <c r="O947" s="8" t="s">
        <v>30</v>
      </c>
      <c r="P947" t="str">
        <f>TEXT(Table1[[#This Row],[Transaction_Date]],"mmm")</f>
        <v>May</v>
      </c>
      <c r="Q947" s="11">
        <v>45783</v>
      </c>
      <c r="R947" s="8" t="s">
        <v>2198</v>
      </c>
      <c r="S947" s="8" t="s">
        <v>70</v>
      </c>
      <c r="T947" s="9">
        <v>1939.81</v>
      </c>
      <c r="U947" t="s">
        <v>45</v>
      </c>
      <c r="V947" s="8" t="s">
        <v>62</v>
      </c>
      <c r="W947"/>
      <c r="X947"/>
    </row>
    <row r="948" spans="1:24" x14ac:dyDescent="0.3">
      <c r="A948" t="s">
        <v>2199</v>
      </c>
      <c r="B948" t="s">
        <v>429</v>
      </c>
      <c r="C948">
        <v>39</v>
      </c>
      <c r="D948" t="s">
        <v>57</v>
      </c>
      <c r="E948" t="s">
        <v>58</v>
      </c>
      <c r="F948" t="s">
        <v>57</v>
      </c>
      <c r="G948" t="s">
        <v>39</v>
      </c>
      <c r="H948" s="8" t="s">
        <v>51</v>
      </c>
      <c r="I948" s="9">
        <v>66576.69</v>
      </c>
      <c r="J948" s="9">
        <v>7869.42</v>
      </c>
      <c r="K948" s="8" t="s">
        <v>68</v>
      </c>
      <c r="L948" s="10">
        <v>98079.39</v>
      </c>
      <c r="M948" s="8" t="s">
        <v>29</v>
      </c>
      <c r="N948" s="9">
        <v>39835.29</v>
      </c>
      <c r="O948" s="8" t="s">
        <v>30</v>
      </c>
      <c r="P948" t="str">
        <f>TEXT(Table1[[#This Row],[Transaction_Date]],"mmm")</f>
        <v>May</v>
      </c>
      <c r="Q948" s="11">
        <v>45783</v>
      </c>
      <c r="R948" s="8" t="s">
        <v>2200</v>
      </c>
      <c r="S948" s="8" t="s">
        <v>54</v>
      </c>
      <c r="T948" s="9">
        <v>8561.83</v>
      </c>
      <c r="U948" t="s">
        <v>61</v>
      </c>
      <c r="V948" s="8" t="s">
        <v>34</v>
      </c>
      <c r="W948"/>
      <c r="X948"/>
    </row>
    <row r="949" spans="1:24" x14ac:dyDescent="0.3">
      <c r="A949" t="s">
        <v>2201</v>
      </c>
      <c r="B949" t="s">
        <v>626</v>
      </c>
      <c r="C949">
        <v>36</v>
      </c>
      <c r="D949" t="s">
        <v>57</v>
      </c>
      <c r="E949" t="s">
        <v>58</v>
      </c>
      <c r="F949" t="s">
        <v>57</v>
      </c>
      <c r="G949" t="s">
        <v>39</v>
      </c>
      <c r="H949" s="8" t="s">
        <v>67</v>
      </c>
      <c r="I949" s="9">
        <v>23245.83</v>
      </c>
      <c r="J949" s="9">
        <v>41769.03</v>
      </c>
      <c r="K949" s="8" t="s">
        <v>68</v>
      </c>
      <c r="L949" s="10">
        <v>215370.72</v>
      </c>
      <c r="M949" s="8" t="s">
        <v>42</v>
      </c>
      <c r="N949" s="9">
        <v>0</v>
      </c>
      <c r="O949" s="8" t="s">
        <v>30</v>
      </c>
      <c r="P949" t="str">
        <f>TEXT(Table1[[#This Row],[Transaction_Date]],"mmm")</f>
        <v>Jan</v>
      </c>
      <c r="Q949" s="11">
        <v>45685</v>
      </c>
      <c r="R949" s="8" t="s">
        <v>2202</v>
      </c>
      <c r="S949" s="8" t="s">
        <v>70</v>
      </c>
      <c r="T949" s="9">
        <v>1266.53</v>
      </c>
      <c r="U949" t="s">
        <v>71</v>
      </c>
      <c r="V949" s="8" t="s">
        <v>62</v>
      </c>
      <c r="W949"/>
      <c r="X949"/>
    </row>
    <row r="950" spans="1:24" x14ac:dyDescent="0.3">
      <c r="A950" t="s">
        <v>2203</v>
      </c>
      <c r="B950" t="s">
        <v>379</v>
      </c>
      <c r="C950">
        <v>21</v>
      </c>
      <c r="D950" t="s">
        <v>49</v>
      </c>
      <c r="E950" t="s">
        <v>50</v>
      </c>
      <c r="F950" t="s">
        <v>49</v>
      </c>
      <c r="G950" t="s">
        <v>39</v>
      </c>
      <c r="H950" s="8" t="s">
        <v>40</v>
      </c>
      <c r="I950" s="9">
        <v>36018.199999999997</v>
      </c>
      <c r="J950" s="9">
        <v>82680.399999999994</v>
      </c>
      <c r="K950" s="8" t="s">
        <v>74</v>
      </c>
      <c r="L950" s="10">
        <v>0</v>
      </c>
      <c r="M950" s="8" t="s">
        <v>75</v>
      </c>
      <c r="N950" s="9">
        <v>0</v>
      </c>
      <c r="O950" s="8" t="s">
        <v>30</v>
      </c>
      <c r="P950" t="str">
        <f>TEXT(Table1[[#This Row],[Transaction_Date]],"mmm")</f>
        <v>Jul</v>
      </c>
      <c r="Q950" s="11">
        <v>45854</v>
      </c>
      <c r="R950" s="8" t="s">
        <v>2204</v>
      </c>
      <c r="S950" s="8" t="s">
        <v>44</v>
      </c>
      <c r="T950" s="9">
        <v>2905.58</v>
      </c>
      <c r="U950" t="s">
        <v>71</v>
      </c>
      <c r="V950" s="8" t="s">
        <v>34</v>
      </c>
      <c r="W950"/>
      <c r="X950"/>
    </row>
    <row r="951" spans="1:24" x14ac:dyDescent="0.3">
      <c r="A951" t="s">
        <v>2205</v>
      </c>
      <c r="B951" t="s">
        <v>206</v>
      </c>
      <c r="C951">
        <v>44</v>
      </c>
      <c r="D951" t="s">
        <v>24</v>
      </c>
      <c r="E951" t="s">
        <v>25</v>
      </c>
      <c r="F951" t="s">
        <v>24</v>
      </c>
      <c r="G951" t="s">
        <v>39</v>
      </c>
      <c r="H951" s="8" t="s">
        <v>40</v>
      </c>
      <c r="I951" s="9">
        <v>40728.559999999998</v>
      </c>
      <c r="J951" s="9">
        <v>17002.62</v>
      </c>
      <c r="K951" s="8" t="s">
        <v>74</v>
      </c>
      <c r="L951" s="10">
        <v>0</v>
      </c>
      <c r="M951" s="8" t="s">
        <v>75</v>
      </c>
      <c r="N951" s="9">
        <v>0</v>
      </c>
      <c r="O951" s="8" t="s">
        <v>30</v>
      </c>
      <c r="P951" t="str">
        <f>TEXT(Table1[[#This Row],[Transaction_Date]],"mmm")</f>
        <v>Nov</v>
      </c>
      <c r="Q951" s="11">
        <v>45972</v>
      </c>
      <c r="R951" s="8" t="s">
        <v>2206</v>
      </c>
      <c r="S951" s="8" t="s">
        <v>54</v>
      </c>
      <c r="T951" s="9">
        <v>2353.44</v>
      </c>
      <c r="U951" t="s">
        <v>61</v>
      </c>
      <c r="V951" s="8" t="s">
        <v>62</v>
      </c>
      <c r="W951"/>
      <c r="X951"/>
    </row>
    <row r="952" spans="1:24" hidden="1" x14ac:dyDescent="0.3">
      <c r="A952" t="s">
        <v>2207</v>
      </c>
      <c r="B952" t="s">
        <v>285</v>
      </c>
      <c r="C952">
        <v>48</v>
      </c>
      <c r="D952" t="s">
        <v>49</v>
      </c>
      <c r="E952" t="s">
        <v>50</v>
      </c>
      <c r="F952" t="s">
        <v>49</v>
      </c>
      <c r="G952" t="s">
        <v>51</v>
      </c>
      <c r="H952" s="8" t="s">
        <v>51</v>
      </c>
      <c r="I952" s="9">
        <v>48893.46</v>
      </c>
      <c r="J952" s="9">
        <v>15819.82</v>
      </c>
      <c r="K952" s="8" t="s">
        <v>59</v>
      </c>
      <c r="L952" s="10">
        <v>90152.79</v>
      </c>
      <c r="M952" s="8" t="s">
        <v>29</v>
      </c>
      <c r="N952" s="9">
        <v>32842.660000000003</v>
      </c>
      <c r="O952" s="8" t="s">
        <v>30</v>
      </c>
      <c r="P952" t="str">
        <f>TEXT(Table1[[#This Row],[Transaction_Date]],"mmm")</f>
        <v>May</v>
      </c>
      <c r="Q952" s="11">
        <v>45778</v>
      </c>
      <c r="R952" s="8" t="s">
        <v>2208</v>
      </c>
      <c r="S952" s="8" t="s">
        <v>54</v>
      </c>
      <c r="T952" s="9">
        <v>1383.44</v>
      </c>
      <c r="U952" t="s">
        <v>33</v>
      </c>
      <c r="V952" s="8" t="s">
        <v>62</v>
      </c>
      <c r="W952"/>
      <c r="X952"/>
    </row>
    <row r="953" spans="1:24" x14ac:dyDescent="0.3">
      <c r="A953" t="s">
        <v>2209</v>
      </c>
      <c r="B953" t="s">
        <v>483</v>
      </c>
      <c r="C953">
        <v>26</v>
      </c>
      <c r="D953" t="s">
        <v>84</v>
      </c>
      <c r="E953" t="s">
        <v>85</v>
      </c>
      <c r="F953" t="s">
        <v>84</v>
      </c>
      <c r="G953" t="s">
        <v>39</v>
      </c>
      <c r="H953" s="8" t="s">
        <v>67</v>
      </c>
      <c r="I953" s="9">
        <v>23861.37</v>
      </c>
      <c r="J953" s="9">
        <v>73165.009999999995</v>
      </c>
      <c r="K953" s="8" t="s">
        <v>28</v>
      </c>
      <c r="L953" s="10">
        <v>219715.78</v>
      </c>
      <c r="M953" s="8" t="s">
        <v>29</v>
      </c>
      <c r="N953" s="9">
        <v>112780.58</v>
      </c>
      <c r="O953" s="8" t="s">
        <v>30</v>
      </c>
      <c r="P953" t="str">
        <f>TEXT(Table1[[#This Row],[Transaction_Date]],"mmm")</f>
        <v>Jul</v>
      </c>
      <c r="Q953" s="11">
        <v>45844</v>
      </c>
      <c r="R953" s="8" t="s">
        <v>2210</v>
      </c>
      <c r="S953" s="8" t="s">
        <v>70</v>
      </c>
      <c r="T953" s="9">
        <v>1600.93</v>
      </c>
      <c r="U953" t="s">
        <v>77</v>
      </c>
      <c r="V953" s="8" t="s">
        <v>62</v>
      </c>
      <c r="W953"/>
      <c r="X953"/>
    </row>
    <row r="954" spans="1:24" hidden="1" x14ac:dyDescent="0.3">
      <c r="A954" t="s">
        <v>2211</v>
      </c>
      <c r="B954" t="s">
        <v>251</v>
      </c>
      <c r="C954">
        <v>30</v>
      </c>
      <c r="D954" t="s">
        <v>97</v>
      </c>
      <c r="E954" t="s">
        <v>98</v>
      </c>
      <c r="F954" t="s">
        <v>97</v>
      </c>
      <c r="G954" t="s">
        <v>51</v>
      </c>
      <c r="H954" s="8" t="s">
        <v>27</v>
      </c>
      <c r="I954" s="9">
        <v>18453.5</v>
      </c>
      <c r="J954" s="9">
        <v>7751.61</v>
      </c>
      <c r="K954" s="8" t="s">
        <v>74</v>
      </c>
      <c r="L954" s="10">
        <v>0</v>
      </c>
      <c r="M954" s="8" t="s">
        <v>75</v>
      </c>
      <c r="N954" s="9">
        <v>0</v>
      </c>
      <c r="O954" s="8" t="s">
        <v>30</v>
      </c>
      <c r="P954" t="str">
        <f>TEXT(Table1[[#This Row],[Transaction_Date]],"mmm")</f>
        <v>Aug</v>
      </c>
      <c r="Q954" s="11">
        <v>45892</v>
      </c>
      <c r="R954" s="8" t="s">
        <v>2212</v>
      </c>
      <c r="S954" s="8" t="s">
        <v>70</v>
      </c>
      <c r="T954" s="9">
        <v>14042.15</v>
      </c>
      <c r="U954" t="s">
        <v>77</v>
      </c>
      <c r="V954" s="8" t="s">
        <v>34</v>
      </c>
      <c r="W954"/>
      <c r="X954"/>
    </row>
    <row r="955" spans="1:24" x14ac:dyDescent="0.3">
      <c r="A955" t="s">
        <v>2213</v>
      </c>
      <c r="B955" t="s">
        <v>237</v>
      </c>
      <c r="C955">
        <v>64</v>
      </c>
      <c r="D955" t="s">
        <v>49</v>
      </c>
      <c r="E955" t="s">
        <v>50</v>
      </c>
      <c r="F955" t="s">
        <v>49</v>
      </c>
      <c r="G955" t="s">
        <v>39</v>
      </c>
      <c r="H955" s="8" t="s">
        <v>40</v>
      </c>
      <c r="I955" s="9">
        <v>67881.47</v>
      </c>
      <c r="J955" s="9">
        <v>24998.63</v>
      </c>
      <c r="K955" s="8" t="s">
        <v>74</v>
      </c>
      <c r="L955" s="10">
        <v>0</v>
      </c>
      <c r="M955" s="8" t="s">
        <v>75</v>
      </c>
      <c r="N955" s="9">
        <v>0</v>
      </c>
      <c r="O955" s="8" t="s">
        <v>30</v>
      </c>
      <c r="P955" t="str">
        <f>TEXT(Table1[[#This Row],[Transaction_Date]],"mmm")</f>
        <v>Jun</v>
      </c>
      <c r="Q955" s="11">
        <v>45833</v>
      </c>
      <c r="R955" s="8" t="s">
        <v>2214</v>
      </c>
      <c r="S955" s="8" t="s">
        <v>54</v>
      </c>
      <c r="T955" s="9">
        <v>784.57</v>
      </c>
      <c r="U955" t="s">
        <v>45</v>
      </c>
      <c r="V955" s="8" t="s">
        <v>62</v>
      </c>
      <c r="W955"/>
      <c r="X955"/>
    </row>
    <row r="956" spans="1:24" hidden="1" x14ac:dyDescent="0.3">
      <c r="A956" t="s">
        <v>2215</v>
      </c>
      <c r="B956" t="s">
        <v>285</v>
      </c>
      <c r="C956">
        <v>39</v>
      </c>
      <c r="D956" t="s">
        <v>24</v>
      </c>
      <c r="E956" t="s">
        <v>25</v>
      </c>
      <c r="F956" t="s">
        <v>24</v>
      </c>
      <c r="G956" t="s">
        <v>80</v>
      </c>
      <c r="H956" s="8" t="s">
        <v>40</v>
      </c>
      <c r="I956" s="9">
        <v>15263.09</v>
      </c>
      <c r="J956" s="9">
        <v>30400.99</v>
      </c>
      <c r="K956" s="8" t="s">
        <v>68</v>
      </c>
      <c r="L956" s="10">
        <v>25000</v>
      </c>
      <c r="M956" s="8" t="s">
        <v>29</v>
      </c>
      <c r="N956" s="9">
        <v>19516.54</v>
      </c>
      <c r="O956" s="8" t="s">
        <v>30</v>
      </c>
      <c r="P956" t="str">
        <f>TEXT(Table1[[#This Row],[Transaction_Date]],"mmm")</f>
        <v>Jan</v>
      </c>
      <c r="Q956" s="11">
        <v>45677</v>
      </c>
      <c r="R956" s="8" t="s">
        <v>2216</v>
      </c>
      <c r="S956" s="8" t="s">
        <v>44</v>
      </c>
      <c r="T956" s="9">
        <v>487.96</v>
      </c>
      <c r="U956" t="s">
        <v>77</v>
      </c>
      <c r="V956" s="8" t="s">
        <v>62</v>
      </c>
      <c r="W956"/>
      <c r="X956"/>
    </row>
    <row r="957" spans="1:24" x14ac:dyDescent="0.3">
      <c r="A957" t="s">
        <v>2217</v>
      </c>
      <c r="B957" t="s">
        <v>950</v>
      </c>
      <c r="C957">
        <v>50</v>
      </c>
      <c r="D957" t="s">
        <v>97</v>
      </c>
      <c r="E957" t="s">
        <v>98</v>
      </c>
      <c r="F957" t="s">
        <v>97</v>
      </c>
      <c r="G957" t="s">
        <v>39</v>
      </c>
      <c r="H957" s="8" t="s">
        <v>67</v>
      </c>
      <c r="I957" s="9">
        <v>12000</v>
      </c>
      <c r="J957" s="9">
        <v>14397.45</v>
      </c>
      <c r="K957" s="8" t="s">
        <v>68</v>
      </c>
      <c r="L957" s="10">
        <v>33780.769999999997</v>
      </c>
      <c r="M957" s="8" t="s">
        <v>29</v>
      </c>
      <c r="N957" s="9">
        <v>29450.33</v>
      </c>
      <c r="O957" s="8" t="s">
        <v>30</v>
      </c>
      <c r="P957" t="str">
        <f>TEXT(Table1[[#This Row],[Transaction_Date]],"mmm")</f>
        <v>Jul</v>
      </c>
      <c r="Q957" s="11">
        <v>45859</v>
      </c>
      <c r="R957" s="8" t="s">
        <v>2218</v>
      </c>
      <c r="S957" s="8" t="s">
        <v>44</v>
      </c>
      <c r="T957" s="9">
        <v>3011.9</v>
      </c>
      <c r="U957" t="s">
        <v>106</v>
      </c>
      <c r="V957" s="8" t="s">
        <v>62</v>
      </c>
      <c r="W957"/>
      <c r="X957"/>
    </row>
    <row r="958" spans="1:24" x14ac:dyDescent="0.3">
      <c r="A958" t="s">
        <v>2219</v>
      </c>
      <c r="B958" t="s">
        <v>1045</v>
      </c>
      <c r="C958">
        <v>36</v>
      </c>
      <c r="D958" t="s">
        <v>97</v>
      </c>
      <c r="E958" t="s">
        <v>98</v>
      </c>
      <c r="F958" t="s">
        <v>97</v>
      </c>
      <c r="G958" t="s">
        <v>39</v>
      </c>
      <c r="H958" s="8" t="s">
        <v>40</v>
      </c>
      <c r="I958" s="9">
        <v>63625.4</v>
      </c>
      <c r="J958" s="9">
        <v>22184.37</v>
      </c>
      <c r="K958" s="8" t="s">
        <v>59</v>
      </c>
      <c r="L958" s="10">
        <v>25000</v>
      </c>
      <c r="M958" s="8" t="s">
        <v>29</v>
      </c>
      <c r="N958" s="9">
        <v>15331.16</v>
      </c>
      <c r="O958" s="8" t="s">
        <v>30</v>
      </c>
      <c r="P958" t="str">
        <f>TEXT(Table1[[#This Row],[Transaction_Date]],"mmm")</f>
        <v>Dec</v>
      </c>
      <c r="Q958" s="11">
        <v>46003</v>
      </c>
      <c r="R958" s="8" t="s">
        <v>2220</v>
      </c>
      <c r="S958" s="8" t="s">
        <v>70</v>
      </c>
      <c r="T958" s="9">
        <v>5689.17</v>
      </c>
      <c r="U958" t="s">
        <v>77</v>
      </c>
      <c r="V958" s="8" t="s">
        <v>46</v>
      </c>
      <c r="W958"/>
      <c r="X958"/>
    </row>
    <row r="959" spans="1:24" x14ac:dyDescent="0.3">
      <c r="A959" t="s">
        <v>2221</v>
      </c>
      <c r="B959" t="s">
        <v>1338</v>
      </c>
      <c r="C959">
        <v>55</v>
      </c>
      <c r="D959" t="s">
        <v>84</v>
      </c>
      <c r="E959" t="s">
        <v>85</v>
      </c>
      <c r="F959" t="s">
        <v>84</v>
      </c>
      <c r="G959" t="s">
        <v>39</v>
      </c>
      <c r="H959" s="8" t="s">
        <v>51</v>
      </c>
      <c r="I959" s="9">
        <v>60333.9</v>
      </c>
      <c r="J959" s="9">
        <v>33894.339999999997</v>
      </c>
      <c r="K959" s="8" t="s">
        <v>52</v>
      </c>
      <c r="L959" s="10">
        <v>63016.7</v>
      </c>
      <c r="M959" s="8" t="s">
        <v>29</v>
      </c>
      <c r="N959" s="9">
        <v>25159.98</v>
      </c>
      <c r="O959" s="8" t="s">
        <v>228</v>
      </c>
      <c r="P959" t="str">
        <f>TEXT(Table1[[#This Row],[Transaction_Date]],"mmm")</f>
        <v>Aug</v>
      </c>
      <c r="Q959" s="11">
        <v>45871</v>
      </c>
      <c r="R959" s="8" t="s">
        <v>2222</v>
      </c>
      <c r="S959" s="8" t="s">
        <v>54</v>
      </c>
      <c r="T959" s="9">
        <v>9456.57</v>
      </c>
      <c r="U959" t="s">
        <v>106</v>
      </c>
      <c r="V959" s="8" t="s">
        <v>46</v>
      </c>
      <c r="W959"/>
      <c r="X959"/>
    </row>
    <row r="960" spans="1:24" x14ac:dyDescent="0.3">
      <c r="A960" t="s">
        <v>2223</v>
      </c>
      <c r="B960" t="s">
        <v>311</v>
      </c>
      <c r="C960">
        <v>72</v>
      </c>
      <c r="D960" t="s">
        <v>57</v>
      </c>
      <c r="E960" t="s">
        <v>58</v>
      </c>
      <c r="F960" t="s">
        <v>57</v>
      </c>
      <c r="G960" t="s">
        <v>39</v>
      </c>
      <c r="H960" s="8" t="s">
        <v>40</v>
      </c>
      <c r="I960" s="9">
        <v>66158.95</v>
      </c>
      <c r="J960" s="9">
        <v>26787.17</v>
      </c>
      <c r="K960" s="8" t="s">
        <v>74</v>
      </c>
      <c r="L960" s="10">
        <v>0</v>
      </c>
      <c r="M960" s="8" t="s">
        <v>75</v>
      </c>
      <c r="N960" s="9">
        <v>0</v>
      </c>
      <c r="O960" s="8" t="s">
        <v>30</v>
      </c>
      <c r="P960" t="str">
        <f>TEXT(Table1[[#This Row],[Transaction_Date]],"mmm")</f>
        <v>Jun</v>
      </c>
      <c r="Q960" s="11">
        <v>45813</v>
      </c>
      <c r="R960" s="8" t="s">
        <v>2224</v>
      </c>
      <c r="S960" s="8" t="s">
        <v>54</v>
      </c>
      <c r="T960" s="9">
        <v>10282.36</v>
      </c>
      <c r="U960" t="s">
        <v>106</v>
      </c>
      <c r="V960" s="8" t="s">
        <v>62</v>
      </c>
      <c r="W960"/>
      <c r="X960"/>
    </row>
    <row r="961" spans="1:24" hidden="1" x14ac:dyDescent="0.3">
      <c r="A961" t="s">
        <v>2225</v>
      </c>
      <c r="B961" t="s">
        <v>907</v>
      </c>
      <c r="C961">
        <v>18</v>
      </c>
      <c r="D961" t="s">
        <v>84</v>
      </c>
      <c r="E961" t="s">
        <v>85</v>
      </c>
      <c r="F961" t="s">
        <v>84</v>
      </c>
      <c r="G961" t="s">
        <v>26</v>
      </c>
      <c r="H961" s="8" t="s">
        <v>40</v>
      </c>
      <c r="I961" s="9">
        <v>37259.82</v>
      </c>
      <c r="J961" s="9">
        <v>4429.99</v>
      </c>
      <c r="K961" s="8" t="s">
        <v>28</v>
      </c>
      <c r="L961" s="10">
        <v>229775.69</v>
      </c>
      <c r="M961" s="8" t="s">
        <v>42</v>
      </c>
      <c r="N961" s="9">
        <v>0</v>
      </c>
      <c r="O961" s="8" t="s">
        <v>30</v>
      </c>
      <c r="P961" t="str">
        <f>TEXT(Table1[[#This Row],[Transaction_Date]],"mmm")</f>
        <v>Apr</v>
      </c>
      <c r="Q961" s="11">
        <v>45768</v>
      </c>
      <c r="R961" s="8" t="s">
        <v>2226</v>
      </c>
      <c r="S961" s="8" t="s">
        <v>32</v>
      </c>
      <c r="T961" s="9">
        <v>2998.42</v>
      </c>
      <c r="U961" t="s">
        <v>71</v>
      </c>
      <c r="V961" s="8" t="s">
        <v>62</v>
      </c>
      <c r="W961"/>
      <c r="X961"/>
    </row>
    <row r="962" spans="1:24" hidden="1" x14ac:dyDescent="0.3">
      <c r="A962" t="s">
        <v>2227</v>
      </c>
      <c r="B962" t="s">
        <v>311</v>
      </c>
      <c r="C962">
        <v>51</v>
      </c>
      <c r="D962" t="s">
        <v>49</v>
      </c>
      <c r="E962" t="s">
        <v>50</v>
      </c>
      <c r="F962" t="s">
        <v>49</v>
      </c>
      <c r="G962" t="s">
        <v>51</v>
      </c>
      <c r="H962" s="8" t="s">
        <v>27</v>
      </c>
      <c r="I962" s="9">
        <v>27844.43</v>
      </c>
      <c r="J962" s="9">
        <v>24494.66</v>
      </c>
      <c r="K962" s="8" t="s">
        <v>41</v>
      </c>
      <c r="L962" s="10">
        <v>80915.45</v>
      </c>
      <c r="M962" s="8" t="s">
        <v>42</v>
      </c>
      <c r="N962" s="9">
        <v>0</v>
      </c>
      <c r="O962" s="8" t="s">
        <v>30</v>
      </c>
      <c r="P962" t="str">
        <f>TEXT(Table1[[#This Row],[Transaction_Date]],"mmm")</f>
        <v>Dec</v>
      </c>
      <c r="Q962" s="11">
        <v>45997</v>
      </c>
      <c r="R962" s="8" t="s">
        <v>2228</v>
      </c>
      <c r="S962" s="8" t="s">
        <v>1527</v>
      </c>
      <c r="T962" s="9">
        <v>4876.7</v>
      </c>
      <c r="U962" t="s">
        <v>61</v>
      </c>
      <c r="V962" s="8" t="s">
        <v>34</v>
      </c>
      <c r="W962"/>
      <c r="X962"/>
    </row>
    <row r="963" spans="1:24" x14ac:dyDescent="0.3">
      <c r="A963" t="s">
        <v>2229</v>
      </c>
      <c r="B963" t="s">
        <v>390</v>
      </c>
      <c r="C963">
        <v>38</v>
      </c>
      <c r="D963" t="s">
        <v>57</v>
      </c>
      <c r="E963" t="s">
        <v>58</v>
      </c>
      <c r="F963" t="s">
        <v>57</v>
      </c>
      <c r="G963" t="s">
        <v>39</v>
      </c>
      <c r="H963" s="8" t="s">
        <v>51</v>
      </c>
      <c r="I963" s="9">
        <v>43331</v>
      </c>
      <c r="J963" s="9">
        <v>15525.98</v>
      </c>
      <c r="K963" s="8" t="s">
        <v>68</v>
      </c>
      <c r="L963" s="10">
        <v>25000</v>
      </c>
      <c r="M963" s="8" t="s">
        <v>29</v>
      </c>
      <c r="N963" s="9">
        <v>14577.67</v>
      </c>
      <c r="O963" s="8" t="s">
        <v>30</v>
      </c>
      <c r="P963" t="str">
        <f>TEXT(Table1[[#This Row],[Transaction_Date]],"mmm")</f>
        <v>Mar</v>
      </c>
      <c r="Q963" s="11">
        <v>45733</v>
      </c>
      <c r="R963" s="8" t="s">
        <v>2230</v>
      </c>
      <c r="S963" s="8" t="s">
        <v>54</v>
      </c>
      <c r="T963" s="9">
        <v>8423.69</v>
      </c>
      <c r="U963" t="s">
        <v>77</v>
      </c>
      <c r="V963" s="8" t="s">
        <v>62</v>
      </c>
      <c r="W963"/>
      <c r="X963"/>
    </row>
    <row r="964" spans="1:24" hidden="1" x14ac:dyDescent="0.3">
      <c r="A964" t="s">
        <v>2231</v>
      </c>
      <c r="B964" t="s">
        <v>162</v>
      </c>
      <c r="C964">
        <v>34</v>
      </c>
      <c r="D964" t="s">
        <v>84</v>
      </c>
      <c r="E964" t="s">
        <v>85</v>
      </c>
      <c r="F964" t="s">
        <v>84</v>
      </c>
      <c r="G964" t="s">
        <v>26</v>
      </c>
      <c r="H964" s="8" t="s">
        <v>40</v>
      </c>
      <c r="I964" s="9">
        <v>82230.240000000005</v>
      </c>
      <c r="J964" s="9">
        <v>43407.94</v>
      </c>
      <c r="K964" s="8" t="s">
        <v>28</v>
      </c>
      <c r="L964" s="10">
        <v>25882.6</v>
      </c>
      <c r="M964" s="8" t="s">
        <v>29</v>
      </c>
      <c r="N964" s="9">
        <v>19672.330000000002</v>
      </c>
      <c r="O964" s="8" t="s">
        <v>30</v>
      </c>
      <c r="P964" t="str">
        <f>TEXT(Table1[[#This Row],[Transaction_Date]],"mmm")</f>
        <v>Dec</v>
      </c>
      <c r="Q964" s="11">
        <v>46013</v>
      </c>
      <c r="R964" s="8" t="s">
        <v>2232</v>
      </c>
      <c r="S964" s="8" t="s">
        <v>44</v>
      </c>
      <c r="T964" s="9">
        <v>6103.15</v>
      </c>
      <c r="U964" t="s">
        <v>45</v>
      </c>
      <c r="V964" s="8" t="s">
        <v>62</v>
      </c>
      <c r="W964"/>
      <c r="X964"/>
    </row>
    <row r="965" spans="1:24" hidden="1" x14ac:dyDescent="0.3">
      <c r="A965" t="s">
        <v>2233</v>
      </c>
      <c r="B965" t="s">
        <v>626</v>
      </c>
      <c r="C965">
        <v>41</v>
      </c>
      <c r="D965" t="s">
        <v>49</v>
      </c>
      <c r="E965" t="s">
        <v>50</v>
      </c>
      <c r="F965" t="s">
        <v>49</v>
      </c>
      <c r="G965" t="s">
        <v>26</v>
      </c>
      <c r="H965" s="8" t="s">
        <v>27</v>
      </c>
      <c r="I965" s="9">
        <v>79197.429999999993</v>
      </c>
      <c r="J965" s="9">
        <v>26480.66</v>
      </c>
      <c r="K965" s="8" t="s">
        <v>74</v>
      </c>
      <c r="L965" s="10">
        <v>0</v>
      </c>
      <c r="M965" s="8" t="s">
        <v>75</v>
      </c>
      <c r="N965" s="9">
        <v>0</v>
      </c>
      <c r="O965" s="8" t="s">
        <v>30</v>
      </c>
      <c r="P965" t="str">
        <f>TEXT(Table1[[#This Row],[Transaction_Date]],"mmm")</f>
        <v>Dec</v>
      </c>
      <c r="Q965" s="11">
        <v>46010</v>
      </c>
      <c r="R965" s="8" t="s">
        <v>2234</v>
      </c>
      <c r="S965" s="8" t="s">
        <v>70</v>
      </c>
      <c r="T965" s="9">
        <v>2713.04</v>
      </c>
      <c r="U965" t="s">
        <v>77</v>
      </c>
      <c r="V965" s="8" t="s">
        <v>62</v>
      </c>
      <c r="W965"/>
      <c r="X965"/>
    </row>
    <row r="966" spans="1:24" x14ac:dyDescent="0.3">
      <c r="A966" t="s">
        <v>2235</v>
      </c>
      <c r="B966" t="s">
        <v>649</v>
      </c>
      <c r="C966">
        <v>24</v>
      </c>
      <c r="D966" t="s">
        <v>92</v>
      </c>
      <c r="E966" t="s">
        <v>93</v>
      </c>
      <c r="F966" t="s">
        <v>92</v>
      </c>
      <c r="G966" t="s">
        <v>39</v>
      </c>
      <c r="H966" s="8" t="s">
        <v>27</v>
      </c>
      <c r="I966" s="9">
        <v>12933.32</v>
      </c>
      <c r="J966" s="9">
        <v>51017.9</v>
      </c>
      <c r="K966" s="8" t="s">
        <v>59</v>
      </c>
      <c r="L966" s="10">
        <v>83404.87</v>
      </c>
      <c r="M966" s="8" t="s">
        <v>29</v>
      </c>
      <c r="N966" s="9">
        <v>57080.3</v>
      </c>
      <c r="O966" s="8" t="s">
        <v>30</v>
      </c>
      <c r="P966" t="str">
        <f>TEXT(Table1[[#This Row],[Transaction_Date]],"mmm")</f>
        <v>Nov</v>
      </c>
      <c r="Q966" s="11">
        <v>45982</v>
      </c>
      <c r="R966" s="8" t="s">
        <v>2236</v>
      </c>
      <c r="S966" s="8" t="s">
        <v>70</v>
      </c>
      <c r="T966" s="9">
        <v>3609.98</v>
      </c>
      <c r="U966" t="s">
        <v>77</v>
      </c>
      <c r="V966" s="8" t="s">
        <v>62</v>
      </c>
      <c r="W966"/>
      <c r="X966"/>
    </row>
    <row r="967" spans="1:24" hidden="1" x14ac:dyDescent="0.3">
      <c r="A967" t="s">
        <v>2237</v>
      </c>
      <c r="B967" t="s">
        <v>179</v>
      </c>
      <c r="C967">
        <v>46</v>
      </c>
      <c r="D967" t="s">
        <v>24</v>
      </c>
      <c r="E967" t="s">
        <v>25</v>
      </c>
      <c r="F967" t="s">
        <v>24</v>
      </c>
      <c r="G967" t="s">
        <v>51</v>
      </c>
      <c r="H967" s="8" t="s">
        <v>27</v>
      </c>
      <c r="I967" s="9">
        <v>32663.57</v>
      </c>
      <c r="J967" s="9">
        <v>34101.21</v>
      </c>
      <c r="K967" s="8" t="s">
        <v>59</v>
      </c>
      <c r="L967" s="10">
        <v>95552.1</v>
      </c>
      <c r="M967" s="8" t="s">
        <v>29</v>
      </c>
      <c r="N967" s="9">
        <v>51029.99</v>
      </c>
      <c r="O967" s="8" t="s">
        <v>30</v>
      </c>
      <c r="P967" t="str">
        <f>TEXT(Table1[[#This Row],[Transaction_Date]],"mmm")</f>
        <v>Feb</v>
      </c>
      <c r="Q967" s="11">
        <v>45712</v>
      </c>
      <c r="R967" s="8" t="s">
        <v>2238</v>
      </c>
      <c r="S967" s="8" t="s">
        <v>70</v>
      </c>
      <c r="T967" s="9">
        <v>15323.18</v>
      </c>
      <c r="U967" t="s">
        <v>71</v>
      </c>
      <c r="V967" s="8" t="s">
        <v>62</v>
      </c>
      <c r="W967"/>
      <c r="X967"/>
    </row>
    <row r="968" spans="1:24" x14ac:dyDescent="0.3">
      <c r="A968" t="s">
        <v>2239</v>
      </c>
      <c r="B968" t="s">
        <v>617</v>
      </c>
      <c r="C968">
        <v>37</v>
      </c>
      <c r="D968" t="s">
        <v>92</v>
      </c>
      <c r="E968" t="s">
        <v>93</v>
      </c>
      <c r="F968" t="s">
        <v>92</v>
      </c>
      <c r="G968" t="s">
        <v>39</v>
      </c>
      <c r="H968" s="8" t="s">
        <v>27</v>
      </c>
      <c r="I968" s="9">
        <v>47032.24</v>
      </c>
      <c r="J968" s="9">
        <v>16468.02</v>
      </c>
      <c r="K968" s="8" t="s">
        <v>59</v>
      </c>
      <c r="L968" s="10">
        <v>50174.39</v>
      </c>
      <c r="M968" s="8" t="s">
        <v>29</v>
      </c>
      <c r="N968" s="9">
        <v>11127.67</v>
      </c>
      <c r="O968" s="8" t="s">
        <v>30</v>
      </c>
      <c r="P968" t="str">
        <f>TEXT(Table1[[#This Row],[Transaction_Date]],"mmm")</f>
        <v>Jul</v>
      </c>
      <c r="Q968" s="11">
        <v>45853</v>
      </c>
      <c r="R968" s="8" t="s">
        <v>2240</v>
      </c>
      <c r="S968" s="8" t="s">
        <v>70</v>
      </c>
      <c r="T968" s="9">
        <v>3743.4</v>
      </c>
      <c r="U968" t="s">
        <v>33</v>
      </c>
      <c r="V968" s="8" t="s">
        <v>34</v>
      </c>
      <c r="W968"/>
      <c r="X968"/>
    </row>
    <row r="969" spans="1:24" x14ac:dyDescent="0.3">
      <c r="A969" t="s">
        <v>2241</v>
      </c>
      <c r="B969" t="s">
        <v>510</v>
      </c>
      <c r="C969">
        <v>31</v>
      </c>
      <c r="D969" t="s">
        <v>92</v>
      </c>
      <c r="E969" t="s">
        <v>93</v>
      </c>
      <c r="F969" t="s">
        <v>92</v>
      </c>
      <c r="G969" t="s">
        <v>39</v>
      </c>
      <c r="H969" s="8" t="s">
        <v>40</v>
      </c>
      <c r="I969" s="9">
        <v>32600.42</v>
      </c>
      <c r="J969" s="9">
        <v>88688.13</v>
      </c>
      <c r="K969" s="8" t="s">
        <v>59</v>
      </c>
      <c r="L969" s="10">
        <v>25000</v>
      </c>
      <c r="M969" s="8" t="s">
        <v>29</v>
      </c>
      <c r="N969" s="9">
        <v>9592.61</v>
      </c>
      <c r="O969" s="8" t="s">
        <v>30</v>
      </c>
      <c r="P969" t="str">
        <f>TEXT(Table1[[#This Row],[Transaction_Date]],"mmm")</f>
        <v>Jun</v>
      </c>
      <c r="Q969" s="11">
        <v>45833</v>
      </c>
      <c r="R969" s="8" t="s">
        <v>2242</v>
      </c>
      <c r="S969" s="8" t="s">
        <v>54</v>
      </c>
      <c r="T969" s="9">
        <v>2293.27</v>
      </c>
      <c r="U969" t="s">
        <v>33</v>
      </c>
      <c r="V969" s="8" t="s">
        <v>62</v>
      </c>
      <c r="W969"/>
      <c r="X969"/>
    </row>
    <row r="970" spans="1:24" x14ac:dyDescent="0.3">
      <c r="A970" t="s">
        <v>2243</v>
      </c>
      <c r="B970" t="s">
        <v>1233</v>
      </c>
      <c r="C970">
        <v>40</v>
      </c>
      <c r="D970" t="s">
        <v>37</v>
      </c>
      <c r="E970" t="s">
        <v>38</v>
      </c>
      <c r="F970" t="s">
        <v>37</v>
      </c>
      <c r="G970" t="s">
        <v>39</v>
      </c>
      <c r="H970" s="8" t="s">
        <v>40</v>
      </c>
      <c r="I970" s="9">
        <v>97055.09</v>
      </c>
      <c r="J970" s="9">
        <v>15044.98</v>
      </c>
      <c r="K970" s="8" t="s">
        <v>68</v>
      </c>
      <c r="L970" s="10">
        <v>98673.07</v>
      </c>
      <c r="M970" s="8" t="s">
        <v>29</v>
      </c>
      <c r="N970" s="9">
        <v>54211.360000000001</v>
      </c>
      <c r="O970" s="8" t="s">
        <v>30</v>
      </c>
      <c r="P970" t="str">
        <f>TEXT(Table1[[#This Row],[Transaction_Date]],"mmm")</f>
        <v>Feb</v>
      </c>
      <c r="Q970" s="11">
        <v>45692</v>
      </c>
      <c r="R970" s="8" t="s">
        <v>2244</v>
      </c>
      <c r="S970" s="8" t="s">
        <v>70</v>
      </c>
      <c r="T970" s="9">
        <v>2604.54</v>
      </c>
      <c r="U970" t="s">
        <v>106</v>
      </c>
      <c r="V970" s="8" t="s">
        <v>62</v>
      </c>
      <c r="W970"/>
      <c r="X970"/>
    </row>
    <row r="971" spans="1:24" hidden="1" x14ac:dyDescent="0.3">
      <c r="A971" t="s">
        <v>2245</v>
      </c>
      <c r="B971" t="s">
        <v>346</v>
      </c>
      <c r="C971">
        <v>29</v>
      </c>
      <c r="D971" t="s">
        <v>37</v>
      </c>
      <c r="E971" t="s">
        <v>38</v>
      </c>
      <c r="F971" t="s">
        <v>37</v>
      </c>
      <c r="G971" t="s">
        <v>80</v>
      </c>
      <c r="H971" s="8" t="s">
        <v>27</v>
      </c>
      <c r="I971" s="9">
        <v>51135.26</v>
      </c>
      <c r="J971" s="9">
        <v>31211.88</v>
      </c>
      <c r="K971" s="8" t="s">
        <v>28</v>
      </c>
      <c r="L971" s="10">
        <v>132062.47</v>
      </c>
      <c r="M971" s="8" t="s">
        <v>29</v>
      </c>
      <c r="N971" s="9">
        <v>57996.29</v>
      </c>
      <c r="O971" s="8" t="s">
        <v>30</v>
      </c>
      <c r="P971" t="str">
        <f>TEXT(Table1[[#This Row],[Transaction_Date]],"mmm")</f>
        <v>Jan</v>
      </c>
      <c r="Q971" s="11">
        <v>45667</v>
      </c>
      <c r="R971" s="8" t="s">
        <v>2246</v>
      </c>
      <c r="S971" s="8" t="s">
        <v>54</v>
      </c>
      <c r="T971" s="9">
        <v>3289.03</v>
      </c>
      <c r="U971" t="s">
        <v>106</v>
      </c>
      <c r="V971" s="8" t="s">
        <v>34</v>
      </c>
      <c r="W971"/>
      <c r="X971"/>
    </row>
    <row r="972" spans="1:24" x14ac:dyDescent="0.3">
      <c r="A972" t="s">
        <v>2247</v>
      </c>
      <c r="B972" t="s">
        <v>120</v>
      </c>
      <c r="C972">
        <v>30</v>
      </c>
      <c r="D972" t="s">
        <v>24</v>
      </c>
      <c r="E972" t="s">
        <v>25</v>
      </c>
      <c r="F972" t="s">
        <v>24</v>
      </c>
      <c r="G972" t="s">
        <v>39</v>
      </c>
      <c r="H972" s="8" t="s">
        <v>51</v>
      </c>
      <c r="I972" s="9">
        <v>54709.69</v>
      </c>
      <c r="J972" s="9">
        <v>12507.56</v>
      </c>
      <c r="K972" s="8" t="s">
        <v>74</v>
      </c>
      <c r="L972" s="10">
        <v>0</v>
      </c>
      <c r="M972" s="8" t="s">
        <v>75</v>
      </c>
      <c r="N972" s="9">
        <v>0</v>
      </c>
      <c r="O972" s="8" t="s">
        <v>30</v>
      </c>
      <c r="P972" t="str">
        <f>TEXT(Table1[[#This Row],[Transaction_Date]],"mmm")</f>
        <v>Aug</v>
      </c>
      <c r="Q972" s="11">
        <v>45883</v>
      </c>
      <c r="R972" s="8" t="s">
        <v>2248</v>
      </c>
      <c r="S972" s="8" t="s">
        <v>54</v>
      </c>
      <c r="T972" s="9">
        <v>22885.63</v>
      </c>
      <c r="U972" t="s">
        <v>61</v>
      </c>
      <c r="V972" s="8" t="s">
        <v>34</v>
      </c>
      <c r="W972"/>
      <c r="X972"/>
    </row>
    <row r="973" spans="1:24" hidden="1" x14ac:dyDescent="0.3">
      <c r="A973" t="s">
        <v>2249</v>
      </c>
      <c r="B973" t="s">
        <v>1009</v>
      </c>
      <c r="C973">
        <v>47</v>
      </c>
      <c r="D973" t="s">
        <v>84</v>
      </c>
      <c r="E973" t="s">
        <v>85</v>
      </c>
      <c r="F973" t="s">
        <v>84</v>
      </c>
      <c r="G973" t="s">
        <v>51</v>
      </c>
      <c r="H973" s="8" t="s">
        <v>27</v>
      </c>
      <c r="I973" s="9">
        <v>60279.86</v>
      </c>
      <c r="J973" s="9">
        <v>15405.47</v>
      </c>
      <c r="K973" s="8" t="s">
        <v>74</v>
      </c>
      <c r="L973" s="10">
        <v>0</v>
      </c>
      <c r="M973" s="8" t="s">
        <v>75</v>
      </c>
      <c r="N973" s="9">
        <v>0</v>
      </c>
      <c r="O973" s="8" t="s">
        <v>30</v>
      </c>
      <c r="P973" t="str">
        <f>TEXT(Table1[[#This Row],[Transaction_Date]],"mmm")</f>
        <v>Jan</v>
      </c>
      <c r="Q973" s="11">
        <v>45674</v>
      </c>
      <c r="R973" s="8" t="s">
        <v>2250</v>
      </c>
      <c r="S973" s="8" t="s">
        <v>70</v>
      </c>
      <c r="T973" s="9">
        <v>1749.07</v>
      </c>
      <c r="U973" t="s">
        <v>33</v>
      </c>
      <c r="V973" s="8" t="s">
        <v>46</v>
      </c>
      <c r="W973"/>
      <c r="X973"/>
    </row>
    <row r="974" spans="1:24" x14ac:dyDescent="0.3">
      <c r="A974" t="s">
        <v>2251</v>
      </c>
      <c r="B974" t="s">
        <v>96</v>
      </c>
      <c r="C974">
        <v>47</v>
      </c>
      <c r="D974" t="s">
        <v>49</v>
      </c>
      <c r="E974" t="s">
        <v>50</v>
      </c>
      <c r="F974" t="s">
        <v>49</v>
      </c>
      <c r="G974" t="s">
        <v>39</v>
      </c>
      <c r="H974" s="8" t="s">
        <v>67</v>
      </c>
      <c r="I974" s="9">
        <v>12000</v>
      </c>
      <c r="J974" s="9">
        <v>35159.86</v>
      </c>
      <c r="K974" s="8" t="s">
        <v>28</v>
      </c>
      <c r="L974" s="10">
        <v>25000</v>
      </c>
      <c r="M974" s="8" t="s">
        <v>29</v>
      </c>
      <c r="N974" s="9">
        <v>23147.89</v>
      </c>
      <c r="O974" s="8" t="s">
        <v>30</v>
      </c>
      <c r="P974" t="str">
        <f>TEXT(Table1[[#This Row],[Transaction_Date]],"mmm")</f>
        <v>May</v>
      </c>
      <c r="Q974" s="11">
        <v>45793</v>
      </c>
      <c r="R974" s="8" t="s">
        <v>2252</v>
      </c>
      <c r="S974" s="8" t="s">
        <v>70</v>
      </c>
      <c r="T974" s="9">
        <v>1330.67</v>
      </c>
      <c r="U974" t="s">
        <v>61</v>
      </c>
      <c r="V974" s="8" t="s">
        <v>62</v>
      </c>
      <c r="W974"/>
      <c r="X974"/>
    </row>
    <row r="975" spans="1:24" hidden="1" x14ac:dyDescent="0.3">
      <c r="A975" t="s">
        <v>2253</v>
      </c>
      <c r="B975" t="s">
        <v>1412</v>
      </c>
      <c r="C975">
        <v>33</v>
      </c>
      <c r="D975" t="s">
        <v>57</v>
      </c>
      <c r="E975" t="s">
        <v>58</v>
      </c>
      <c r="F975" t="s">
        <v>57</v>
      </c>
      <c r="G975" t="s">
        <v>26</v>
      </c>
      <c r="H975" s="8" t="s">
        <v>40</v>
      </c>
      <c r="I975" s="9">
        <v>57367.98</v>
      </c>
      <c r="J975" s="9">
        <v>24269.38</v>
      </c>
      <c r="K975" s="8" t="s">
        <v>28</v>
      </c>
      <c r="L975" s="10">
        <v>89952.09</v>
      </c>
      <c r="M975" s="8" t="s">
        <v>42</v>
      </c>
      <c r="N975" s="9">
        <v>0</v>
      </c>
      <c r="O975" s="8" t="s">
        <v>30</v>
      </c>
      <c r="P975" t="str">
        <f>TEXT(Table1[[#This Row],[Transaction_Date]],"mmm")</f>
        <v>Jul</v>
      </c>
      <c r="Q975" s="11">
        <v>45843</v>
      </c>
      <c r="R975" s="8" t="s">
        <v>2254</v>
      </c>
      <c r="S975" s="8" t="s">
        <v>44</v>
      </c>
      <c r="T975" s="9">
        <v>4618.22</v>
      </c>
      <c r="U975" t="s">
        <v>71</v>
      </c>
      <c r="V975" s="8" t="s">
        <v>62</v>
      </c>
      <c r="W975"/>
      <c r="X975"/>
    </row>
    <row r="976" spans="1:24" x14ac:dyDescent="0.3">
      <c r="A976" t="s">
        <v>2255</v>
      </c>
      <c r="B976" t="s">
        <v>483</v>
      </c>
      <c r="C976">
        <v>44</v>
      </c>
      <c r="D976" t="s">
        <v>92</v>
      </c>
      <c r="E976" t="s">
        <v>93</v>
      </c>
      <c r="F976" t="s">
        <v>92</v>
      </c>
      <c r="G976" t="s">
        <v>39</v>
      </c>
      <c r="H976" s="8" t="s">
        <v>40</v>
      </c>
      <c r="I976" s="9">
        <v>64953.61</v>
      </c>
      <c r="J976" s="9">
        <v>14877.23</v>
      </c>
      <c r="K976" s="8" t="s">
        <v>59</v>
      </c>
      <c r="L976" s="10">
        <v>38773.99</v>
      </c>
      <c r="M976" s="8" t="s">
        <v>29</v>
      </c>
      <c r="N976" s="9">
        <v>9087.66</v>
      </c>
      <c r="O976" s="8" t="s">
        <v>30</v>
      </c>
      <c r="P976" t="str">
        <f>TEXT(Table1[[#This Row],[Transaction_Date]],"mmm")</f>
        <v>May</v>
      </c>
      <c r="Q976" s="11">
        <v>45781</v>
      </c>
      <c r="R976" s="8" t="s">
        <v>2256</v>
      </c>
      <c r="S976" s="8" t="s">
        <v>44</v>
      </c>
      <c r="T976" s="9">
        <v>1201.6600000000001</v>
      </c>
      <c r="U976" t="s">
        <v>61</v>
      </c>
      <c r="V976" s="8" t="s">
        <v>62</v>
      </c>
      <c r="W976"/>
      <c r="X976"/>
    </row>
    <row r="977" spans="1:24" x14ac:dyDescent="0.3">
      <c r="A977" t="s">
        <v>2257</v>
      </c>
      <c r="B977" t="s">
        <v>737</v>
      </c>
      <c r="C977">
        <v>28</v>
      </c>
      <c r="D977" t="s">
        <v>57</v>
      </c>
      <c r="E977" t="s">
        <v>58</v>
      </c>
      <c r="F977" t="s">
        <v>57</v>
      </c>
      <c r="G977" t="s">
        <v>39</v>
      </c>
      <c r="H977" s="8" t="s">
        <v>51</v>
      </c>
      <c r="I977" s="9">
        <v>48740.77</v>
      </c>
      <c r="J977" s="9">
        <v>8404.42</v>
      </c>
      <c r="K977" s="8" t="s">
        <v>52</v>
      </c>
      <c r="L977" s="10">
        <v>25000</v>
      </c>
      <c r="M977" s="8" t="s">
        <v>42</v>
      </c>
      <c r="N977" s="9">
        <v>0</v>
      </c>
      <c r="O977" s="8" t="s">
        <v>30</v>
      </c>
      <c r="P977" t="str">
        <f>TEXT(Table1[[#This Row],[Transaction_Date]],"mmm")</f>
        <v>Dec</v>
      </c>
      <c r="Q977" s="11">
        <v>45998</v>
      </c>
      <c r="R977" s="8" t="s">
        <v>2258</v>
      </c>
      <c r="S977" s="8" t="s">
        <v>54</v>
      </c>
      <c r="T977" s="9">
        <v>3088.79</v>
      </c>
      <c r="U977" t="s">
        <v>71</v>
      </c>
      <c r="V977" s="8" t="s">
        <v>62</v>
      </c>
      <c r="W977"/>
      <c r="X977"/>
    </row>
    <row r="978" spans="1:24" x14ac:dyDescent="0.3">
      <c r="A978" t="s">
        <v>2259</v>
      </c>
      <c r="B978" t="s">
        <v>734</v>
      </c>
      <c r="C978">
        <v>33</v>
      </c>
      <c r="D978" t="s">
        <v>92</v>
      </c>
      <c r="E978" t="s">
        <v>93</v>
      </c>
      <c r="F978" t="s">
        <v>92</v>
      </c>
      <c r="G978" t="s">
        <v>39</v>
      </c>
      <c r="H978" s="8" t="s">
        <v>27</v>
      </c>
      <c r="I978" s="9">
        <v>43504.54</v>
      </c>
      <c r="J978" s="9">
        <v>40668.080000000002</v>
      </c>
      <c r="K978" s="8" t="s">
        <v>59</v>
      </c>
      <c r="L978" s="10">
        <v>25000</v>
      </c>
      <c r="M978" s="8" t="s">
        <v>42</v>
      </c>
      <c r="N978" s="9">
        <v>0</v>
      </c>
      <c r="O978" s="8" t="s">
        <v>30</v>
      </c>
      <c r="P978" t="str">
        <f>TEXT(Table1[[#This Row],[Transaction_Date]],"mmm")</f>
        <v>Mar</v>
      </c>
      <c r="Q978" s="11">
        <v>45719</v>
      </c>
      <c r="R978" s="8" t="s">
        <v>2260</v>
      </c>
      <c r="S978" s="8" t="s">
        <v>44</v>
      </c>
      <c r="T978" s="9">
        <v>2590.25</v>
      </c>
      <c r="U978" t="s">
        <v>71</v>
      </c>
      <c r="V978" s="8" t="s">
        <v>34</v>
      </c>
      <c r="W978"/>
      <c r="X978"/>
    </row>
    <row r="979" spans="1:24" hidden="1" x14ac:dyDescent="0.3">
      <c r="A979" t="s">
        <v>2261</v>
      </c>
      <c r="B979" t="s">
        <v>91</v>
      </c>
      <c r="C979">
        <v>43</v>
      </c>
      <c r="D979" t="s">
        <v>37</v>
      </c>
      <c r="E979" t="s">
        <v>38</v>
      </c>
      <c r="F979" t="s">
        <v>37</v>
      </c>
      <c r="G979" t="s">
        <v>80</v>
      </c>
      <c r="H979" s="8" t="s">
        <v>40</v>
      </c>
      <c r="I979" s="9">
        <v>82328.009999999995</v>
      </c>
      <c r="J979" s="9">
        <v>202194.37</v>
      </c>
      <c r="K979" s="8" t="s">
        <v>28</v>
      </c>
      <c r="L979" s="10">
        <v>169147.61</v>
      </c>
      <c r="M979" s="8" t="s">
        <v>42</v>
      </c>
      <c r="N979" s="9">
        <v>0</v>
      </c>
      <c r="O979" s="8" t="s">
        <v>30</v>
      </c>
      <c r="P979" t="str">
        <f>TEXT(Table1[[#This Row],[Transaction_Date]],"mmm")</f>
        <v>Jan</v>
      </c>
      <c r="Q979" s="11">
        <v>45672</v>
      </c>
      <c r="R979" s="8" t="s">
        <v>2262</v>
      </c>
      <c r="S979" s="8" t="s">
        <v>54</v>
      </c>
      <c r="T979" s="9">
        <v>2773.05</v>
      </c>
      <c r="U979" t="s">
        <v>77</v>
      </c>
      <c r="V979" s="8" t="s">
        <v>62</v>
      </c>
      <c r="W979"/>
      <c r="X979"/>
    </row>
    <row r="980" spans="1:24" x14ac:dyDescent="0.3">
      <c r="A980" t="s">
        <v>2263</v>
      </c>
      <c r="B980" t="s">
        <v>149</v>
      </c>
      <c r="C980">
        <v>36</v>
      </c>
      <c r="D980" t="s">
        <v>65</v>
      </c>
      <c r="E980" t="s">
        <v>66</v>
      </c>
      <c r="F980" t="s">
        <v>65</v>
      </c>
      <c r="G980" t="s">
        <v>39</v>
      </c>
      <c r="H980" s="8" t="s">
        <v>40</v>
      </c>
      <c r="I980" s="9">
        <v>70401.600000000006</v>
      </c>
      <c r="J980" s="9">
        <v>34874.57</v>
      </c>
      <c r="K980" s="8" t="s">
        <v>68</v>
      </c>
      <c r="L980" s="10">
        <v>156186.82999999999</v>
      </c>
      <c r="M980" s="8" t="s">
        <v>42</v>
      </c>
      <c r="N980" s="9">
        <v>0</v>
      </c>
      <c r="O980" s="8" t="s">
        <v>30</v>
      </c>
      <c r="P980" t="str">
        <f>TEXT(Table1[[#This Row],[Transaction_Date]],"mmm")</f>
        <v>Aug</v>
      </c>
      <c r="Q980" s="11">
        <v>45876</v>
      </c>
      <c r="R980" s="8" t="s">
        <v>2264</v>
      </c>
      <c r="S980" s="8" t="s">
        <v>44</v>
      </c>
      <c r="T980" s="9">
        <v>2982.48</v>
      </c>
      <c r="U980" t="s">
        <v>106</v>
      </c>
      <c r="V980" s="8" t="s">
        <v>62</v>
      </c>
      <c r="W980"/>
      <c r="X980"/>
    </row>
    <row r="981" spans="1:24" x14ac:dyDescent="0.3">
      <c r="A981" t="s">
        <v>2265</v>
      </c>
      <c r="B981" t="s">
        <v>472</v>
      </c>
      <c r="C981">
        <v>46</v>
      </c>
      <c r="D981" t="s">
        <v>24</v>
      </c>
      <c r="E981" t="s">
        <v>25</v>
      </c>
      <c r="F981" t="s">
        <v>24</v>
      </c>
      <c r="G981" t="s">
        <v>39</v>
      </c>
      <c r="H981" s="8" t="s">
        <v>51</v>
      </c>
      <c r="I981" s="9">
        <v>69524.53</v>
      </c>
      <c r="J981" s="9">
        <v>46818.55</v>
      </c>
      <c r="K981" s="8" t="s">
        <v>68</v>
      </c>
      <c r="L981" s="10">
        <v>25000</v>
      </c>
      <c r="M981" s="8" t="s">
        <v>42</v>
      </c>
      <c r="N981" s="9">
        <v>0</v>
      </c>
      <c r="O981" s="8" t="s">
        <v>30</v>
      </c>
      <c r="P981" t="str">
        <f>TEXT(Table1[[#This Row],[Transaction_Date]],"mmm")</f>
        <v>May</v>
      </c>
      <c r="Q981" s="11">
        <v>45796</v>
      </c>
      <c r="R981" s="8" t="s">
        <v>2266</v>
      </c>
      <c r="S981" s="8" t="s">
        <v>32</v>
      </c>
      <c r="T981" s="9">
        <v>470.18</v>
      </c>
      <c r="U981" t="s">
        <v>71</v>
      </c>
      <c r="V981" s="8" t="s">
        <v>62</v>
      </c>
      <c r="W981"/>
      <c r="X981"/>
    </row>
    <row r="982" spans="1:24" hidden="1" x14ac:dyDescent="0.3">
      <c r="A982" t="s">
        <v>2267</v>
      </c>
      <c r="B982" t="s">
        <v>1233</v>
      </c>
      <c r="C982">
        <v>22</v>
      </c>
      <c r="D982" t="s">
        <v>24</v>
      </c>
      <c r="E982" t="s">
        <v>25</v>
      </c>
      <c r="F982" t="s">
        <v>24</v>
      </c>
      <c r="G982" t="s">
        <v>51</v>
      </c>
      <c r="H982" s="8" t="s">
        <v>67</v>
      </c>
      <c r="I982" s="9">
        <v>40800.89</v>
      </c>
      <c r="J982" s="9">
        <v>71875.009999999995</v>
      </c>
      <c r="K982" s="8" t="s">
        <v>28</v>
      </c>
      <c r="L982" s="10">
        <v>25000</v>
      </c>
      <c r="M982" s="8" t="s">
        <v>29</v>
      </c>
      <c r="N982" s="9">
        <v>18852.45</v>
      </c>
      <c r="O982" s="8" t="s">
        <v>30</v>
      </c>
      <c r="P982" t="str">
        <f>TEXT(Table1[[#This Row],[Transaction_Date]],"mmm")</f>
        <v>Mar</v>
      </c>
      <c r="Q982" s="11">
        <v>45744</v>
      </c>
      <c r="R982" s="8" t="s">
        <v>2268</v>
      </c>
      <c r="S982" s="8" t="s">
        <v>32</v>
      </c>
      <c r="T982" s="9">
        <v>7411.1</v>
      </c>
      <c r="U982" t="s">
        <v>45</v>
      </c>
      <c r="V982" s="8" t="s">
        <v>62</v>
      </c>
      <c r="W982"/>
      <c r="X982"/>
    </row>
    <row r="983" spans="1:24" hidden="1" x14ac:dyDescent="0.3">
      <c r="A983" t="s">
        <v>2269</v>
      </c>
      <c r="B983" t="s">
        <v>507</v>
      </c>
      <c r="C983">
        <v>22</v>
      </c>
      <c r="D983" t="s">
        <v>65</v>
      </c>
      <c r="E983" t="s">
        <v>66</v>
      </c>
      <c r="F983" t="s">
        <v>65</v>
      </c>
      <c r="G983" t="s">
        <v>80</v>
      </c>
      <c r="H983" s="8" t="s">
        <v>40</v>
      </c>
      <c r="I983" s="9">
        <v>61741.94</v>
      </c>
      <c r="J983" s="9">
        <v>22473.03</v>
      </c>
      <c r="K983" s="8" t="s">
        <v>59</v>
      </c>
      <c r="L983" s="10">
        <v>40932.910000000003</v>
      </c>
      <c r="M983" s="8" t="s">
        <v>29</v>
      </c>
      <c r="N983" s="9">
        <v>38382.51</v>
      </c>
      <c r="O983" s="8" t="s">
        <v>30</v>
      </c>
      <c r="P983" t="str">
        <f>TEXT(Table1[[#This Row],[Transaction_Date]],"mmm")</f>
        <v>Aug</v>
      </c>
      <c r="Q983" s="11">
        <v>45897</v>
      </c>
      <c r="R983" s="8" t="s">
        <v>2270</v>
      </c>
      <c r="S983" s="8" t="s">
        <v>32</v>
      </c>
      <c r="T983" s="9">
        <v>5271.59</v>
      </c>
      <c r="U983" t="s">
        <v>33</v>
      </c>
      <c r="V983" s="8" t="s">
        <v>46</v>
      </c>
      <c r="W983"/>
      <c r="X983"/>
    </row>
    <row r="984" spans="1:24" x14ac:dyDescent="0.3">
      <c r="A984" t="s">
        <v>2271</v>
      </c>
      <c r="B984" t="s">
        <v>790</v>
      </c>
      <c r="C984">
        <v>21</v>
      </c>
      <c r="D984" t="s">
        <v>49</v>
      </c>
      <c r="E984" t="s">
        <v>50</v>
      </c>
      <c r="F984" t="s">
        <v>49</v>
      </c>
      <c r="G984" t="s">
        <v>39</v>
      </c>
      <c r="H984" s="8" t="s">
        <v>51</v>
      </c>
      <c r="I984" s="9">
        <v>65917.47</v>
      </c>
      <c r="J984" s="9">
        <v>28307.77</v>
      </c>
      <c r="K984" s="8" t="s">
        <v>74</v>
      </c>
      <c r="L984" s="10">
        <v>0</v>
      </c>
      <c r="M984" s="8" t="s">
        <v>75</v>
      </c>
      <c r="N984" s="9">
        <v>0</v>
      </c>
      <c r="O984" s="8" t="s">
        <v>30</v>
      </c>
      <c r="P984" t="str">
        <f>TEXT(Table1[[#This Row],[Transaction_Date]],"mmm")</f>
        <v>Jan</v>
      </c>
      <c r="Q984" s="11">
        <v>45664</v>
      </c>
      <c r="R984" s="8" t="s">
        <v>2272</v>
      </c>
      <c r="S984" s="8" t="s">
        <v>70</v>
      </c>
      <c r="T984" s="9">
        <v>13132.34</v>
      </c>
      <c r="U984" t="s">
        <v>71</v>
      </c>
      <c r="V984" s="8" t="s">
        <v>62</v>
      </c>
      <c r="W984"/>
      <c r="X984"/>
    </row>
    <row r="985" spans="1:24" x14ac:dyDescent="0.3">
      <c r="A985" t="s">
        <v>2273</v>
      </c>
      <c r="B985" t="s">
        <v>138</v>
      </c>
      <c r="C985">
        <v>41</v>
      </c>
      <c r="D985" t="s">
        <v>84</v>
      </c>
      <c r="E985" t="s">
        <v>85</v>
      </c>
      <c r="F985" t="s">
        <v>84</v>
      </c>
      <c r="G985" t="s">
        <v>39</v>
      </c>
      <c r="H985" s="8" t="s">
        <v>51</v>
      </c>
      <c r="I985" s="9">
        <v>81085.759999999995</v>
      </c>
      <c r="J985" s="9">
        <v>7313.49</v>
      </c>
      <c r="K985" s="8" t="s">
        <v>68</v>
      </c>
      <c r="L985" s="10">
        <v>25000</v>
      </c>
      <c r="M985" s="8" t="s">
        <v>29</v>
      </c>
      <c r="N985" s="9">
        <v>22116.14</v>
      </c>
      <c r="O985" s="8" t="s">
        <v>30</v>
      </c>
      <c r="P985" t="str">
        <f>TEXT(Table1[[#This Row],[Transaction_Date]],"mmm")</f>
        <v>Jul</v>
      </c>
      <c r="Q985" s="11">
        <v>45851</v>
      </c>
      <c r="R985" s="8" t="s">
        <v>2274</v>
      </c>
      <c r="S985" s="8" t="s">
        <v>32</v>
      </c>
      <c r="T985" s="9">
        <v>930.86</v>
      </c>
      <c r="U985" t="s">
        <v>106</v>
      </c>
      <c r="V985" s="8" t="s">
        <v>62</v>
      </c>
      <c r="W985"/>
      <c r="X985"/>
    </row>
    <row r="986" spans="1:24" x14ac:dyDescent="0.3">
      <c r="A986" t="s">
        <v>2275</v>
      </c>
      <c r="B986" t="s">
        <v>600</v>
      </c>
      <c r="C986">
        <v>37</v>
      </c>
      <c r="D986" t="s">
        <v>57</v>
      </c>
      <c r="E986" t="s">
        <v>58</v>
      </c>
      <c r="F986" t="s">
        <v>57</v>
      </c>
      <c r="G986" t="s">
        <v>39</v>
      </c>
      <c r="H986" s="8" t="s">
        <v>40</v>
      </c>
      <c r="I986" s="9">
        <v>60655.25</v>
      </c>
      <c r="J986" s="9">
        <v>25735.43</v>
      </c>
      <c r="K986" s="8" t="s">
        <v>74</v>
      </c>
      <c r="L986" s="10">
        <v>0</v>
      </c>
      <c r="M986" s="8" t="s">
        <v>75</v>
      </c>
      <c r="N986" s="9">
        <v>0</v>
      </c>
      <c r="O986" s="8" t="s">
        <v>30</v>
      </c>
      <c r="P986" t="str">
        <f>TEXT(Table1[[#This Row],[Transaction_Date]],"mmm")</f>
        <v>Jul</v>
      </c>
      <c r="Q986" s="11">
        <v>45850</v>
      </c>
      <c r="R986" s="8" t="s">
        <v>2276</v>
      </c>
      <c r="S986" s="8" t="s">
        <v>54</v>
      </c>
      <c r="T986" s="9">
        <v>1773.58</v>
      </c>
      <c r="U986" t="s">
        <v>77</v>
      </c>
      <c r="V986" s="8" t="s">
        <v>62</v>
      </c>
      <c r="W986"/>
      <c r="X986"/>
    </row>
    <row r="987" spans="1:24" x14ac:dyDescent="0.3">
      <c r="A987" t="s">
        <v>2277</v>
      </c>
      <c r="B987" t="s">
        <v>64</v>
      </c>
      <c r="C987">
        <v>42</v>
      </c>
      <c r="D987" t="s">
        <v>57</v>
      </c>
      <c r="E987" t="s">
        <v>58</v>
      </c>
      <c r="F987" t="s">
        <v>57</v>
      </c>
      <c r="G987" t="s">
        <v>39</v>
      </c>
      <c r="H987" s="8" t="s">
        <v>67</v>
      </c>
      <c r="I987" s="9">
        <v>16365.45</v>
      </c>
      <c r="J987" s="9">
        <v>123748.18</v>
      </c>
      <c r="K987" s="8" t="s">
        <v>52</v>
      </c>
      <c r="L987" s="10">
        <v>72048.45</v>
      </c>
      <c r="M987" s="8" t="s">
        <v>42</v>
      </c>
      <c r="N987" s="9">
        <v>0</v>
      </c>
      <c r="O987" s="8" t="s">
        <v>30</v>
      </c>
      <c r="P987" t="str">
        <f>TEXT(Table1[[#This Row],[Transaction_Date]],"mmm")</f>
        <v>Feb</v>
      </c>
      <c r="Q987" s="11">
        <v>45691</v>
      </c>
      <c r="R987" s="8" t="s">
        <v>2278</v>
      </c>
      <c r="S987" s="8" t="s">
        <v>70</v>
      </c>
      <c r="T987" s="9">
        <v>3091.65</v>
      </c>
      <c r="U987" t="s">
        <v>77</v>
      </c>
      <c r="V987" s="8" t="s">
        <v>46</v>
      </c>
      <c r="W987"/>
      <c r="X987"/>
    </row>
    <row r="988" spans="1:24" hidden="1" x14ac:dyDescent="0.3">
      <c r="A988" t="s">
        <v>2279</v>
      </c>
      <c r="B988" t="s">
        <v>203</v>
      </c>
      <c r="C988">
        <v>55</v>
      </c>
      <c r="D988" t="s">
        <v>97</v>
      </c>
      <c r="E988" t="s">
        <v>98</v>
      </c>
      <c r="F988" t="s">
        <v>97</v>
      </c>
      <c r="G988" t="s">
        <v>80</v>
      </c>
      <c r="H988" s="8" t="s">
        <v>40</v>
      </c>
      <c r="I988" s="9">
        <v>65818.27</v>
      </c>
      <c r="J988" s="9">
        <v>21885.71</v>
      </c>
      <c r="K988" s="8" t="s">
        <v>74</v>
      </c>
      <c r="L988" s="10">
        <v>0</v>
      </c>
      <c r="M988" s="8" t="s">
        <v>75</v>
      </c>
      <c r="N988" s="9">
        <v>0</v>
      </c>
      <c r="O988" s="8" t="s">
        <v>30</v>
      </c>
      <c r="P988" t="str">
        <f>TEXT(Table1[[#This Row],[Transaction_Date]],"mmm")</f>
        <v>Nov</v>
      </c>
      <c r="Q988" s="11">
        <v>45980</v>
      </c>
      <c r="R988" s="8" t="s">
        <v>2280</v>
      </c>
      <c r="S988" s="8" t="s">
        <v>54</v>
      </c>
      <c r="T988" s="9">
        <v>8954.09</v>
      </c>
      <c r="U988" t="s">
        <v>77</v>
      </c>
      <c r="V988" s="8" t="s">
        <v>62</v>
      </c>
      <c r="W988"/>
      <c r="X988"/>
    </row>
    <row r="989" spans="1:24" hidden="1" x14ac:dyDescent="0.3">
      <c r="A989" t="s">
        <v>2281</v>
      </c>
      <c r="B989" t="s">
        <v>1660</v>
      </c>
      <c r="C989">
        <v>40</v>
      </c>
      <c r="D989" t="s">
        <v>84</v>
      </c>
      <c r="E989" t="s">
        <v>85</v>
      </c>
      <c r="F989" t="s">
        <v>84</v>
      </c>
      <c r="G989" t="s">
        <v>51</v>
      </c>
      <c r="H989" s="8" t="s">
        <v>51</v>
      </c>
      <c r="I989" s="9">
        <v>50121.46</v>
      </c>
      <c r="J989" s="9">
        <v>34043.03</v>
      </c>
      <c r="K989" s="8" t="s">
        <v>68</v>
      </c>
      <c r="L989" s="10">
        <v>25000</v>
      </c>
      <c r="M989" s="8" t="s">
        <v>42</v>
      </c>
      <c r="N989" s="9">
        <v>0</v>
      </c>
      <c r="O989" s="8" t="s">
        <v>30</v>
      </c>
      <c r="P989" t="str">
        <f>TEXT(Table1[[#This Row],[Transaction_Date]],"mmm")</f>
        <v>Feb</v>
      </c>
      <c r="Q989" s="11">
        <v>45690</v>
      </c>
      <c r="R989" s="8" t="s">
        <v>2282</v>
      </c>
      <c r="S989" s="8" t="s">
        <v>70</v>
      </c>
      <c r="T989" s="9">
        <v>1277.06</v>
      </c>
      <c r="U989" t="s">
        <v>61</v>
      </c>
      <c r="V989" s="8" t="s">
        <v>62</v>
      </c>
      <c r="W989"/>
      <c r="X989"/>
    </row>
    <row r="990" spans="1:24" hidden="1" x14ac:dyDescent="0.3">
      <c r="A990" t="s">
        <v>2283</v>
      </c>
      <c r="B990" t="s">
        <v>1068</v>
      </c>
      <c r="C990">
        <v>32</v>
      </c>
      <c r="D990" t="s">
        <v>65</v>
      </c>
      <c r="E990" t="s">
        <v>66</v>
      </c>
      <c r="F990" t="s">
        <v>65</v>
      </c>
      <c r="G990" t="s">
        <v>80</v>
      </c>
      <c r="H990" s="8" t="s">
        <v>40</v>
      </c>
      <c r="I990" s="9">
        <v>49268.69</v>
      </c>
      <c r="J990" s="9">
        <v>18368.259999999998</v>
      </c>
      <c r="K990" s="8" t="s">
        <v>28</v>
      </c>
      <c r="L990" s="10">
        <v>178399.41</v>
      </c>
      <c r="M990" s="8" t="s">
        <v>29</v>
      </c>
      <c r="N990" s="9">
        <v>66741.3</v>
      </c>
      <c r="O990" s="8" t="s">
        <v>30</v>
      </c>
      <c r="P990" t="str">
        <f>TEXT(Table1[[#This Row],[Transaction_Date]],"mmm")</f>
        <v>May</v>
      </c>
      <c r="Q990" s="11">
        <v>45800</v>
      </c>
      <c r="R990" s="8" t="s">
        <v>2284</v>
      </c>
      <c r="S990" s="8" t="s">
        <v>44</v>
      </c>
      <c r="T990" s="9">
        <v>2669.46</v>
      </c>
      <c r="U990" t="s">
        <v>106</v>
      </c>
      <c r="V990" s="8" t="s">
        <v>62</v>
      </c>
      <c r="W990"/>
      <c r="X990"/>
    </row>
    <row r="991" spans="1:24" x14ac:dyDescent="0.3">
      <c r="A991" t="s">
        <v>2285</v>
      </c>
      <c r="B991" t="s">
        <v>734</v>
      </c>
      <c r="C991">
        <v>38</v>
      </c>
      <c r="D991" t="s">
        <v>37</v>
      </c>
      <c r="E991" t="s">
        <v>38</v>
      </c>
      <c r="F991" t="s">
        <v>37</v>
      </c>
      <c r="G991" t="s">
        <v>39</v>
      </c>
      <c r="H991" s="8" t="s">
        <v>40</v>
      </c>
      <c r="I991" s="9">
        <v>45518.879999999997</v>
      </c>
      <c r="J991" s="9">
        <v>14826.95</v>
      </c>
      <c r="K991" s="8" t="s">
        <v>68</v>
      </c>
      <c r="L991" s="10">
        <v>25000</v>
      </c>
      <c r="M991" s="8" t="s">
        <v>29</v>
      </c>
      <c r="N991" s="9">
        <v>11039.61</v>
      </c>
      <c r="O991" s="8" t="s">
        <v>30</v>
      </c>
      <c r="P991" t="str">
        <f>TEXT(Table1[[#This Row],[Transaction_Date]],"mmm")</f>
        <v>Nov</v>
      </c>
      <c r="Q991" s="11">
        <v>45963</v>
      </c>
      <c r="R991" s="8" t="s">
        <v>2286</v>
      </c>
      <c r="S991" s="8" t="s">
        <v>44</v>
      </c>
      <c r="T991" s="9">
        <v>3361.83</v>
      </c>
      <c r="U991" t="s">
        <v>71</v>
      </c>
      <c r="V991" s="8" t="s">
        <v>62</v>
      </c>
      <c r="W991"/>
      <c r="X991"/>
    </row>
    <row r="992" spans="1:24" x14ac:dyDescent="0.3">
      <c r="A992" t="s">
        <v>2287</v>
      </c>
      <c r="B992" t="s">
        <v>254</v>
      </c>
      <c r="C992">
        <v>28</v>
      </c>
      <c r="D992" t="s">
        <v>84</v>
      </c>
      <c r="E992" t="s">
        <v>85</v>
      </c>
      <c r="F992" t="s">
        <v>84</v>
      </c>
      <c r="G992" t="s">
        <v>39</v>
      </c>
      <c r="H992" s="8" t="s">
        <v>67</v>
      </c>
      <c r="I992" s="9">
        <v>36570.74</v>
      </c>
      <c r="J992" s="9">
        <v>84683.83</v>
      </c>
      <c r="K992" s="8" t="s">
        <v>74</v>
      </c>
      <c r="L992" s="10">
        <v>0</v>
      </c>
      <c r="M992" s="8" t="s">
        <v>75</v>
      </c>
      <c r="N992" s="9">
        <v>0</v>
      </c>
      <c r="O992" s="8" t="s">
        <v>30</v>
      </c>
      <c r="P992" t="str">
        <f>TEXT(Table1[[#This Row],[Transaction_Date]],"mmm")</f>
        <v>Dec</v>
      </c>
      <c r="Q992" s="11">
        <v>46018</v>
      </c>
      <c r="R992" s="8" t="s">
        <v>2288</v>
      </c>
      <c r="S992" s="8" t="s">
        <v>44</v>
      </c>
      <c r="T992" s="9">
        <v>5302.76</v>
      </c>
      <c r="U992" t="s">
        <v>77</v>
      </c>
      <c r="V992" s="8" t="s">
        <v>34</v>
      </c>
      <c r="W992"/>
      <c r="X992"/>
    </row>
    <row r="993" spans="1:24" x14ac:dyDescent="0.3">
      <c r="A993" t="s">
        <v>2289</v>
      </c>
      <c r="B993" t="s">
        <v>215</v>
      </c>
      <c r="C993">
        <v>18</v>
      </c>
      <c r="D993" t="s">
        <v>49</v>
      </c>
      <c r="E993" t="s">
        <v>50</v>
      </c>
      <c r="F993" t="s">
        <v>49</v>
      </c>
      <c r="G993" t="s">
        <v>39</v>
      </c>
      <c r="H993" s="8" t="s">
        <v>27</v>
      </c>
      <c r="I993" s="9">
        <v>52928.42</v>
      </c>
      <c r="J993" s="9">
        <v>29690.55</v>
      </c>
      <c r="K993" s="8" t="s">
        <v>74</v>
      </c>
      <c r="L993" s="10">
        <v>0</v>
      </c>
      <c r="M993" s="8" t="s">
        <v>75</v>
      </c>
      <c r="N993" s="9">
        <v>0</v>
      </c>
      <c r="O993" s="8" t="s">
        <v>30</v>
      </c>
      <c r="P993" t="str">
        <f>TEXT(Table1[[#This Row],[Transaction_Date]],"mmm")</f>
        <v>Mar</v>
      </c>
      <c r="Q993" s="11">
        <v>45724</v>
      </c>
      <c r="R993" s="8" t="s">
        <v>2290</v>
      </c>
      <c r="S993" s="8" t="s">
        <v>44</v>
      </c>
      <c r="T993" s="9">
        <v>6714</v>
      </c>
      <c r="U993" t="s">
        <v>77</v>
      </c>
      <c r="V993" s="8" t="s">
        <v>62</v>
      </c>
      <c r="W993"/>
      <c r="X993"/>
    </row>
    <row r="994" spans="1:24" x14ac:dyDescent="0.3">
      <c r="A994" t="s">
        <v>2291</v>
      </c>
      <c r="B994" t="s">
        <v>580</v>
      </c>
      <c r="C994">
        <v>18</v>
      </c>
      <c r="D994" t="s">
        <v>24</v>
      </c>
      <c r="E994" t="s">
        <v>25</v>
      </c>
      <c r="F994" t="s">
        <v>24</v>
      </c>
      <c r="G994" t="s">
        <v>39</v>
      </c>
      <c r="H994" s="8" t="s">
        <v>40</v>
      </c>
      <c r="I994" s="9">
        <v>40492.65</v>
      </c>
      <c r="J994" s="9">
        <v>15334.49</v>
      </c>
      <c r="K994" s="8" t="s">
        <v>68</v>
      </c>
      <c r="L994" s="10">
        <v>71184.88</v>
      </c>
      <c r="M994" s="8" t="s">
        <v>29</v>
      </c>
      <c r="N994" s="9">
        <v>34366.44</v>
      </c>
      <c r="O994" s="8" t="s">
        <v>228</v>
      </c>
      <c r="P994" t="str">
        <f>TEXT(Table1[[#This Row],[Transaction_Date]],"mmm")</f>
        <v>Oct</v>
      </c>
      <c r="Q994" s="11">
        <v>45960</v>
      </c>
      <c r="R994" s="8" t="s">
        <v>2292</v>
      </c>
      <c r="S994" s="8" t="s">
        <v>32</v>
      </c>
      <c r="T994" s="9">
        <v>3363.02</v>
      </c>
      <c r="U994" t="s">
        <v>77</v>
      </c>
      <c r="V994" s="8" t="s">
        <v>46</v>
      </c>
      <c r="W994"/>
      <c r="X994"/>
    </row>
    <row r="995" spans="1:24" x14ac:dyDescent="0.3">
      <c r="A995" t="s">
        <v>2293</v>
      </c>
      <c r="B995" t="s">
        <v>379</v>
      </c>
      <c r="C995">
        <v>30</v>
      </c>
      <c r="D995" t="s">
        <v>49</v>
      </c>
      <c r="E995" t="s">
        <v>50</v>
      </c>
      <c r="F995" t="s">
        <v>49</v>
      </c>
      <c r="G995" t="s">
        <v>39</v>
      </c>
      <c r="H995" s="8" t="s">
        <v>40</v>
      </c>
      <c r="I995" s="9">
        <v>89709.36</v>
      </c>
      <c r="J995" s="9">
        <v>27977.02</v>
      </c>
      <c r="K995" s="8" t="s">
        <v>28</v>
      </c>
      <c r="L995" s="10">
        <v>27659.41</v>
      </c>
      <c r="M995" s="8" t="s">
        <v>29</v>
      </c>
      <c r="N995" s="9">
        <v>7383.98</v>
      </c>
      <c r="O995" s="8" t="s">
        <v>30</v>
      </c>
      <c r="P995" t="str">
        <f>TEXT(Table1[[#This Row],[Transaction_Date]],"mmm")</f>
        <v>Apr</v>
      </c>
      <c r="Q995" s="11">
        <v>45776</v>
      </c>
      <c r="R995" s="8" t="s">
        <v>2294</v>
      </c>
      <c r="S995" s="8" t="s">
        <v>70</v>
      </c>
      <c r="T995" s="9">
        <v>6856.45</v>
      </c>
      <c r="U995" t="s">
        <v>33</v>
      </c>
      <c r="V995" s="8" t="s">
        <v>62</v>
      </c>
      <c r="W995"/>
      <c r="X995"/>
    </row>
    <row r="996" spans="1:24" hidden="1" x14ac:dyDescent="0.3">
      <c r="A996" t="s">
        <v>2295</v>
      </c>
      <c r="B996" t="s">
        <v>179</v>
      </c>
      <c r="C996">
        <v>45</v>
      </c>
      <c r="D996" t="s">
        <v>24</v>
      </c>
      <c r="E996" t="s">
        <v>25</v>
      </c>
      <c r="F996" t="s">
        <v>24</v>
      </c>
      <c r="G996" t="s">
        <v>80</v>
      </c>
      <c r="H996" s="8" t="s">
        <v>51</v>
      </c>
      <c r="I996" s="9">
        <v>23362.36</v>
      </c>
      <c r="J996" s="9">
        <v>6206.25</v>
      </c>
      <c r="K996" s="8" t="s">
        <v>52</v>
      </c>
      <c r="L996" s="10">
        <v>45107.44</v>
      </c>
      <c r="M996" s="8" t="s">
        <v>29</v>
      </c>
      <c r="N996" s="9">
        <v>10985.8</v>
      </c>
      <c r="O996" s="8" t="s">
        <v>30</v>
      </c>
      <c r="P996" t="str">
        <f>TEXT(Table1[[#This Row],[Transaction_Date]],"mmm")</f>
        <v>Dec</v>
      </c>
      <c r="Q996" s="11">
        <v>45994</v>
      </c>
      <c r="R996" s="8" t="s">
        <v>2296</v>
      </c>
      <c r="S996" s="8" t="s">
        <v>54</v>
      </c>
      <c r="T996" s="9">
        <v>14798.35</v>
      </c>
      <c r="U996" t="s">
        <v>106</v>
      </c>
      <c r="V996" s="8" t="s">
        <v>34</v>
      </c>
      <c r="W996"/>
      <c r="X996"/>
    </row>
    <row r="997" spans="1:24" x14ac:dyDescent="0.3">
      <c r="A997" t="s">
        <v>2297</v>
      </c>
      <c r="B997" t="s">
        <v>79</v>
      </c>
      <c r="C997">
        <v>49</v>
      </c>
      <c r="D997" t="s">
        <v>57</v>
      </c>
      <c r="E997" t="s">
        <v>58</v>
      </c>
      <c r="F997" t="s">
        <v>57</v>
      </c>
      <c r="G997" t="s">
        <v>39</v>
      </c>
      <c r="H997" s="8" t="s">
        <v>27</v>
      </c>
      <c r="I997" s="9">
        <v>84334.81</v>
      </c>
      <c r="J997" s="9">
        <v>34778.620000000003</v>
      </c>
      <c r="K997" s="8" t="s">
        <v>74</v>
      </c>
      <c r="L997" s="10">
        <v>0</v>
      </c>
      <c r="M997" s="8" t="s">
        <v>75</v>
      </c>
      <c r="N997" s="9">
        <v>0</v>
      </c>
      <c r="O997" s="8" t="s">
        <v>30</v>
      </c>
      <c r="P997" t="str">
        <f>TEXT(Table1[[#This Row],[Transaction_Date]],"mmm")</f>
        <v>Sep</v>
      </c>
      <c r="Q997" s="11">
        <v>45925</v>
      </c>
      <c r="R997" s="8" t="s">
        <v>2298</v>
      </c>
      <c r="S997" s="8" t="s">
        <v>44</v>
      </c>
      <c r="T997" s="9">
        <v>680.77</v>
      </c>
      <c r="U997" t="s">
        <v>33</v>
      </c>
      <c r="V997" s="8" t="s">
        <v>62</v>
      </c>
      <c r="W997"/>
      <c r="X997"/>
    </row>
    <row r="998" spans="1:24" hidden="1" x14ac:dyDescent="0.3">
      <c r="A998" t="s">
        <v>2299</v>
      </c>
      <c r="B998" t="s">
        <v>328</v>
      </c>
      <c r="C998">
        <v>30</v>
      </c>
      <c r="D998" t="s">
        <v>97</v>
      </c>
      <c r="E998" t="s">
        <v>98</v>
      </c>
      <c r="F998" t="s">
        <v>97</v>
      </c>
      <c r="G998" t="s">
        <v>80</v>
      </c>
      <c r="H998" s="8" t="s">
        <v>67</v>
      </c>
      <c r="I998" s="9">
        <v>24628.05</v>
      </c>
      <c r="J998" s="9">
        <v>49168.67</v>
      </c>
      <c r="K998" s="8" t="s">
        <v>28</v>
      </c>
      <c r="L998" s="10">
        <v>146078.03</v>
      </c>
      <c r="M998" s="8" t="s">
        <v>29</v>
      </c>
      <c r="N998" s="9">
        <v>116595.71</v>
      </c>
      <c r="O998" s="8" t="s">
        <v>30</v>
      </c>
      <c r="P998" t="str">
        <f>TEXT(Table1[[#This Row],[Transaction_Date]],"mmm")</f>
        <v>Oct</v>
      </c>
      <c r="Q998" s="11">
        <v>45932</v>
      </c>
      <c r="R998" s="8" t="s">
        <v>2300</v>
      </c>
      <c r="S998" s="8" t="s">
        <v>32</v>
      </c>
      <c r="T998" s="9">
        <v>1675.95</v>
      </c>
      <c r="U998" t="s">
        <v>106</v>
      </c>
      <c r="V998" s="8" t="s">
        <v>62</v>
      </c>
      <c r="W998"/>
      <c r="X998"/>
    </row>
    <row r="999" spans="1:24" hidden="1" x14ac:dyDescent="0.3">
      <c r="A999" t="s">
        <v>2301</v>
      </c>
      <c r="B999" t="s">
        <v>387</v>
      </c>
      <c r="C999">
        <v>55</v>
      </c>
      <c r="D999" t="s">
        <v>97</v>
      </c>
      <c r="E999" t="s">
        <v>98</v>
      </c>
      <c r="F999" t="s">
        <v>97</v>
      </c>
      <c r="G999" t="s">
        <v>51</v>
      </c>
      <c r="H999" s="8" t="s">
        <v>51</v>
      </c>
      <c r="I999" s="9">
        <v>39401.360000000001</v>
      </c>
      <c r="J999" s="9">
        <v>6328.36</v>
      </c>
      <c r="K999" s="8" t="s">
        <v>41</v>
      </c>
      <c r="L999" s="10">
        <v>110421.57</v>
      </c>
      <c r="M999" s="8" t="s">
        <v>29</v>
      </c>
      <c r="N999" s="9">
        <v>42268.04</v>
      </c>
      <c r="O999" s="8" t="s">
        <v>30</v>
      </c>
      <c r="P999" t="str">
        <f>TEXT(Table1[[#This Row],[Transaction_Date]],"mmm")</f>
        <v>Aug</v>
      </c>
      <c r="Q999" s="11">
        <v>45889</v>
      </c>
      <c r="R999" s="8" t="s">
        <v>2302</v>
      </c>
      <c r="S999" s="8" t="s">
        <v>54</v>
      </c>
      <c r="T999" s="9">
        <v>13532.05</v>
      </c>
      <c r="U999" t="s">
        <v>45</v>
      </c>
      <c r="V999" s="8" t="s">
        <v>62</v>
      </c>
      <c r="W999"/>
      <c r="X999"/>
    </row>
    <row r="1000" spans="1:24" x14ac:dyDescent="0.3">
      <c r="A1000" t="s">
        <v>2303</v>
      </c>
      <c r="B1000" t="s">
        <v>729</v>
      </c>
      <c r="C1000">
        <v>55</v>
      </c>
      <c r="D1000" t="s">
        <v>65</v>
      </c>
      <c r="E1000" t="s">
        <v>66</v>
      </c>
      <c r="F1000" t="s">
        <v>65</v>
      </c>
      <c r="G1000" t="s">
        <v>39</v>
      </c>
      <c r="H1000" s="8" t="s">
        <v>40</v>
      </c>
      <c r="I1000" s="9">
        <v>56316.84</v>
      </c>
      <c r="J1000" s="9">
        <v>17877.91</v>
      </c>
      <c r="K1000" s="8" t="s">
        <v>74</v>
      </c>
      <c r="L1000" s="10">
        <v>0</v>
      </c>
      <c r="M1000" s="8" t="s">
        <v>75</v>
      </c>
      <c r="N1000" s="9">
        <v>0</v>
      </c>
      <c r="O1000" s="8" t="s">
        <v>30</v>
      </c>
      <c r="P1000" t="str">
        <f>TEXT(Table1[[#This Row],[Transaction_Date]],"mmm")</f>
        <v>Sep</v>
      </c>
      <c r="Q1000" s="11">
        <v>45920</v>
      </c>
      <c r="R1000" s="8" t="s">
        <v>2304</v>
      </c>
      <c r="S1000" s="8" t="s">
        <v>54</v>
      </c>
      <c r="T1000" s="9">
        <v>10228.129999999999</v>
      </c>
      <c r="U1000" t="s">
        <v>71</v>
      </c>
      <c r="V1000" s="8" t="s">
        <v>62</v>
      </c>
      <c r="W1000"/>
      <c r="X1000"/>
    </row>
    <row r="1001" spans="1:24" hidden="1" x14ac:dyDescent="0.3">
      <c r="A1001" t="s">
        <v>2305</v>
      </c>
      <c r="B1001" t="s">
        <v>1294</v>
      </c>
      <c r="C1001">
        <v>27</v>
      </c>
      <c r="D1001" t="s">
        <v>24</v>
      </c>
      <c r="E1001" t="s">
        <v>25</v>
      </c>
      <c r="F1001" t="s">
        <v>24</v>
      </c>
      <c r="G1001" t="s">
        <v>51</v>
      </c>
      <c r="H1001" s="8" t="s">
        <v>40</v>
      </c>
      <c r="I1001" s="9">
        <v>98182.41</v>
      </c>
      <c r="J1001" s="9">
        <v>16864.11</v>
      </c>
      <c r="K1001" s="8" t="s">
        <v>74</v>
      </c>
      <c r="L1001" s="10">
        <v>0</v>
      </c>
      <c r="M1001" s="8" t="s">
        <v>75</v>
      </c>
      <c r="N1001" s="9">
        <v>0</v>
      </c>
      <c r="O1001" s="8" t="s">
        <v>30</v>
      </c>
      <c r="P1001" t="str">
        <f>TEXT(Table1[[#This Row],[Transaction_Date]],"mmm")</f>
        <v>Dec</v>
      </c>
      <c r="Q1001" s="11">
        <v>46001</v>
      </c>
      <c r="R1001" s="8" t="s">
        <v>2306</v>
      </c>
      <c r="S1001" s="8" t="s">
        <v>70</v>
      </c>
      <c r="T1001" s="9">
        <v>1492.99</v>
      </c>
      <c r="U1001" t="s">
        <v>77</v>
      </c>
      <c r="V1001" s="8" t="s">
        <v>62</v>
      </c>
      <c r="W1001"/>
      <c r="X1001"/>
    </row>
    <row r="1002" spans="1:24" x14ac:dyDescent="0.3">
      <c r="A1002" t="s">
        <v>2307</v>
      </c>
      <c r="B1002" t="s">
        <v>129</v>
      </c>
      <c r="C1002">
        <v>45</v>
      </c>
      <c r="D1002" t="s">
        <v>65</v>
      </c>
      <c r="E1002" t="s">
        <v>66</v>
      </c>
      <c r="F1002" t="s">
        <v>65</v>
      </c>
      <c r="G1002" t="s">
        <v>39</v>
      </c>
      <c r="H1002" s="8" t="s">
        <v>67</v>
      </c>
      <c r="I1002" s="9">
        <v>12000</v>
      </c>
      <c r="J1002" s="9">
        <v>45042.97</v>
      </c>
      <c r="K1002" s="8" t="s">
        <v>41</v>
      </c>
      <c r="L1002" s="10">
        <v>73185.11</v>
      </c>
      <c r="M1002" s="8" t="s">
        <v>29</v>
      </c>
      <c r="N1002" s="9">
        <v>15336.25</v>
      </c>
      <c r="O1002" s="8" t="s">
        <v>30</v>
      </c>
      <c r="P1002" t="str">
        <f>TEXT(Table1[[#This Row],[Transaction_Date]],"mmm")</f>
        <v>Aug</v>
      </c>
      <c r="Q1002" s="11">
        <v>45884</v>
      </c>
      <c r="R1002" s="8" t="s">
        <v>2308</v>
      </c>
      <c r="S1002" s="8" t="s">
        <v>44</v>
      </c>
      <c r="T1002" s="9">
        <v>962.02</v>
      </c>
      <c r="U1002" t="s">
        <v>45</v>
      </c>
      <c r="V1002" s="8" t="s">
        <v>62</v>
      </c>
      <c r="W1002"/>
      <c r="X1002"/>
    </row>
    <row r="1003" spans="1:24" hidden="1" x14ac:dyDescent="0.3">
      <c r="A1003" t="s">
        <v>2309</v>
      </c>
      <c r="B1003" t="s">
        <v>218</v>
      </c>
      <c r="C1003">
        <v>35</v>
      </c>
      <c r="D1003" t="s">
        <v>37</v>
      </c>
      <c r="E1003" t="s">
        <v>38</v>
      </c>
      <c r="F1003" t="s">
        <v>37</v>
      </c>
      <c r="G1003" t="s">
        <v>80</v>
      </c>
      <c r="H1003" s="8" t="s">
        <v>40</v>
      </c>
      <c r="I1003" s="9">
        <v>72964.2</v>
      </c>
      <c r="J1003" s="9">
        <v>14608.65</v>
      </c>
      <c r="K1003" s="8" t="s">
        <v>41</v>
      </c>
      <c r="L1003" s="10">
        <v>96709.77</v>
      </c>
      <c r="M1003" s="8" t="s">
        <v>29</v>
      </c>
      <c r="N1003" s="9">
        <v>68734.87</v>
      </c>
      <c r="O1003" s="8" t="s">
        <v>30</v>
      </c>
      <c r="P1003" t="str">
        <f>TEXT(Table1[[#This Row],[Transaction_Date]],"mmm")</f>
        <v>Feb</v>
      </c>
      <c r="Q1003" s="11">
        <v>45714</v>
      </c>
      <c r="R1003" s="8" t="s">
        <v>2310</v>
      </c>
      <c r="S1003" s="8" t="s">
        <v>54</v>
      </c>
      <c r="T1003" s="9">
        <v>2172.44</v>
      </c>
      <c r="U1003" t="s">
        <v>33</v>
      </c>
      <c r="V1003" s="8" t="s">
        <v>62</v>
      </c>
      <c r="W1003"/>
      <c r="X1003"/>
    </row>
    <row r="1004" spans="1:24" x14ac:dyDescent="0.3">
      <c r="A1004" t="s">
        <v>2311</v>
      </c>
      <c r="B1004" t="s">
        <v>418</v>
      </c>
      <c r="C1004">
        <v>18</v>
      </c>
      <c r="D1004" t="s">
        <v>84</v>
      </c>
      <c r="E1004" t="s">
        <v>85</v>
      </c>
      <c r="F1004" t="s">
        <v>84</v>
      </c>
      <c r="G1004" t="s">
        <v>39</v>
      </c>
      <c r="H1004" s="8" t="s">
        <v>40</v>
      </c>
      <c r="I1004" s="9">
        <v>63563.65</v>
      </c>
      <c r="J1004" s="9">
        <v>110894.75</v>
      </c>
      <c r="K1004" s="8" t="s">
        <v>28</v>
      </c>
      <c r="L1004" s="10">
        <v>83065.259999999995</v>
      </c>
      <c r="M1004" s="8" t="s">
        <v>29</v>
      </c>
      <c r="N1004" s="9">
        <v>45471.77</v>
      </c>
      <c r="O1004" s="8" t="s">
        <v>30</v>
      </c>
      <c r="P1004" t="str">
        <f>TEXT(Table1[[#This Row],[Transaction_Date]],"mmm")</f>
        <v>Jul</v>
      </c>
      <c r="Q1004" s="11">
        <v>45860</v>
      </c>
      <c r="R1004" s="8" t="s">
        <v>2312</v>
      </c>
      <c r="S1004" s="8" t="s">
        <v>44</v>
      </c>
      <c r="T1004" s="9">
        <v>2601.65</v>
      </c>
      <c r="U1004" t="s">
        <v>71</v>
      </c>
      <c r="V1004" s="8" t="s">
        <v>62</v>
      </c>
      <c r="W1004"/>
      <c r="X1004"/>
    </row>
    <row r="1005" spans="1:24" hidden="1" x14ac:dyDescent="0.3">
      <c r="A1005" t="s">
        <v>2313</v>
      </c>
      <c r="B1005" t="s">
        <v>188</v>
      </c>
      <c r="C1005">
        <v>66</v>
      </c>
      <c r="D1005" t="s">
        <v>65</v>
      </c>
      <c r="E1005" t="s">
        <v>66</v>
      </c>
      <c r="F1005" t="s">
        <v>65</v>
      </c>
      <c r="G1005" t="s">
        <v>26</v>
      </c>
      <c r="H1005" s="8" t="s">
        <v>40</v>
      </c>
      <c r="I1005" s="9">
        <v>45847.13</v>
      </c>
      <c r="J1005" s="9">
        <v>25486.84</v>
      </c>
      <c r="K1005" s="8" t="s">
        <v>28</v>
      </c>
      <c r="L1005" s="10">
        <v>49520.65</v>
      </c>
      <c r="M1005" s="8" t="s">
        <v>29</v>
      </c>
      <c r="N1005" s="9">
        <v>43231.74</v>
      </c>
      <c r="O1005" s="8" t="s">
        <v>30</v>
      </c>
      <c r="P1005" t="str">
        <f>TEXT(Table1[[#This Row],[Transaction_Date]],"mmm")</f>
        <v>Feb</v>
      </c>
      <c r="Q1005" s="11">
        <v>45706</v>
      </c>
      <c r="R1005" s="8" t="s">
        <v>2314</v>
      </c>
      <c r="S1005" s="8" t="s">
        <v>32</v>
      </c>
      <c r="T1005" s="9">
        <v>10530.1</v>
      </c>
      <c r="U1005" t="s">
        <v>33</v>
      </c>
      <c r="V1005" s="8" t="s">
        <v>34</v>
      </c>
      <c r="W1005"/>
      <c r="X1005"/>
    </row>
    <row r="1006" spans="1:24" x14ac:dyDescent="0.3">
      <c r="A1006" t="s">
        <v>2315</v>
      </c>
      <c r="B1006" t="s">
        <v>1026</v>
      </c>
      <c r="C1006">
        <v>33</v>
      </c>
      <c r="D1006" t="s">
        <v>97</v>
      </c>
      <c r="E1006" t="s">
        <v>98</v>
      </c>
      <c r="F1006" t="s">
        <v>97</v>
      </c>
      <c r="G1006" t="s">
        <v>39</v>
      </c>
      <c r="H1006" s="8" t="s">
        <v>40</v>
      </c>
      <c r="I1006" s="9">
        <v>42394.080000000002</v>
      </c>
      <c r="J1006" s="9">
        <v>18730.21</v>
      </c>
      <c r="K1006" s="8" t="s">
        <v>74</v>
      </c>
      <c r="L1006" s="10">
        <v>0</v>
      </c>
      <c r="M1006" s="8" t="s">
        <v>75</v>
      </c>
      <c r="N1006" s="9">
        <v>0</v>
      </c>
      <c r="O1006" s="8" t="s">
        <v>30</v>
      </c>
      <c r="P1006" t="str">
        <f>TEXT(Table1[[#This Row],[Transaction_Date]],"mmm")</f>
        <v>Sep</v>
      </c>
      <c r="Q1006" s="11">
        <v>45904</v>
      </c>
      <c r="R1006" s="8" t="s">
        <v>2316</v>
      </c>
      <c r="S1006" s="8" t="s">
        <v>32</v>
      </c>
      <c r="T1006" s="9">
        <v>1171.56</v>
      </c>
      <c r="U1006" t="s">
        <v>61</v>
      </c>
      <c r="V1006" s="8" t="s">
        <v>62</v>
      </c>
      <c r="W1006"/>
      <c r="X1006"/>
    </row>
    <row r="1007" spans="1:24" hidden="1" x14ac:dyDescent="0.3">
      <c r="A1007" t="s">
        <v>2317</v>
      </c>
      <c r="B1007" t="s">
        <v>1428</v>
      </c>
      <c r="C1007">
        <v>37</v>
      </c>
      <c r="D1007" t="s">
        <v>49</v>
      </c>
      <c r="E1007" t="s">
        <v>50</v>
      </c>
      <c r="F1007" t="s">
        <v>49</v>
      </c>
      <c r="G1007" t="s">
        <v>80</v>
      </c>
      <c r="H1007" s="8" t="s">
        <v>40</v>
      </c>
      <c r="I1007" s="9">
        <v>62630.04</v>
      </c>
      <c r="J1007" s="9">
        <v>10990.81</v>
      </c>
      <c r="K1007" s="8" t="s">
        <v>52</v>
      </c>
      <c r="L1007" s="10">
        <v>28094.33</v>
      </c>
      <c r="M1007" s="8" t="s">
        <v>29</v>
      </c>
      <c r="N1007" s="9">
        <v>25334.17</v>
      </c>
      <c r="O1007" s="8" t="s">
        <v>30</v>
      </c>
      <c r="P1007" t="str">
        <f>TEXT(Table1[[#This Row],[Transaction_Date]],"mmm")</f>
        <v>Feb</v>
      </c>
      <c r="Q1007" s="11">
        <v>45711</v>
      </c>
      <c r="R1007" s="8" t="s">
        <v>2318</v>
      </c>
      <c r="S1007" s="8" t="s">
        <v>70</v>
      </c>
      <c r="T1007" s="9">
        <v>304.99</v>
      </c>
      <c r="U1007" t="s">
        <v>77</v>
      </c>
      <c r="V1007" s="8" t="s">
        <v>34</v>
      </c>
      <c r="W1007"/>
      <c r="X1007"/>
    </row>
    <row r="1008" spans="1:24" x14ac:dyDescent="0.3">
      <c r="A1008" t="s">
        <v>2319</v>
      </c>
      <c r="B1008" t="s">
        <v>1377</v>
      </c>
      <c r="C1008">
        <v>43</v>
      </c>
      <c r="D1008" t="s">
        <v>97</v>
      </c>
      <c r="E1008" t="s">
        <v>98</v>
      </c>
      <c r="F1008" t="s">
        <v>97</v>
      </c>
      <c r="G1008" t="s">
        <v>39</v>
      </c>
      <c r="H1008" s="8" t="s">
        <v>67</v>
      </c>
      <c r="I1008" s="9">
        <v>28816.02</v>
      </c>
      <c r="J1008" s="9">
        <v>9652.74</v>
      </c>
      <c r="K1008" s="8" t="s">
        <v>68</v>
      </c>
      <c r="L1008" s="10">
        <v>58817.22</v>
      </c>
      <c r="M1008" s="8" t="s">
        <v>29</v>
      </c>
      <c r="N1008" s="9">
        <v>18837.990000000002</v>
      </c>
      <c r="O1008" s="8" t="s">
        <v>30</v>
      </c>
      <c r="P1008" t="str">
        <f>TEXT(Table1[[#This Row],[Transaction_Date]],"mmm")</f>
        <v>Jul</v>
      </c>
      <c r="Q1008" s="11">
        <v>45841</v>
      </c>
      <c r="R1008" s="8" t="s">
        <v>2320</v>
      </c>
      <c r="S1008" s="8" t="s">
        <v>32</v>
      </c>
      <c r="T1008" s="9">
        <v>2879.95</v>
      </c>
      <c r="U1008" t="s">
        <v>33</v>
      </c>
      <c r="V1008" s="8" t="s">
        <v>62</v>
      </c>
      <c r="W1008"/>
      <c r="X1008"/>
    </row>
    <row r="1009" spans="1:24" hidden="1" x14ac:dyDescent="0.3">
      <c r="A1009" t="s">
        <v>2321</v>
      </c>
      <c r="B1009" t="s">
        <v>711</v>
      </c>
      <c r="C1009">
        <v>22</v>
      </c>
      <c r="D1009" t="s">
        <v>92</v>
      </c>
      <c r="E1009" t="s">
        <v>93</v>
      </c>
      <c r="F1009" t="s">
        <v>92</v>
      </c>
      <c r="G1009" t="s">
        <v>26</v>
      </c>
      <c r="H1009" s="8" t="s">
        <v>51</v>
      </c>
      <c r="I1009" s="9">
        <v>53299.72</v>
      </c>
      <c r="J1009" s="9">
        <v>52439.7</v>
      </c>
      <c r="K1009" s="8" t="s">
        <v>74</v>
      </c>
      <c r="L1009" s="10">
        <v>0</v>
      </c>
      <c r="M1009" s="8" t="s">
        <v>75</v>
      </c>
      <c r="N1009" s="9">
        <v>0</v>
      </c>
      <c r="O1009" s="8" t="s">
        <v>30</v>
      </c>
      <c r="P1009" t="str">
        <f>TEXT(Table1[[#This Row],[Transaction_Date]],"mmm")</f>
        <v>Apr</v>
      </c>
      <c r="Q1009" s="11">
        <v>45777</v>
      </c>
      <c r="R1009" s="8" t="s">
        <v>2322</v>
      </c>
      <c r="S1009" s="8" t="s">
        <v>44</v>
      </c>
      <c r="T1009" s="9">
        <v>28828.1</v>
      </c>
      <c r="U1009" t="s">
        <v>33</v>
      </c>
      <c r="V1009" s="8" t="s">
        <v>62</v>
      </c>
      <c r="W1009"/>
      <c r="X1009"/>
    </row>
    <row r="1010" spans="1:24" x14ac:dyDescent="0.3">
      <c r="A1010" t="s">
        <v>2323</v>
      </c>
      <c r="B1010" t="s">
        <v>662</v>
      </c>
      <c r="C1010">
        <v>36</v>
      </c>
      <c r="D1010" t="s">
        <v>24</v>
      </c>
      <c r="E1010" t="s">
        <v>25</v>
      </c>
      <c r="F1010" t="s">
        <v>24</v>
      </c>
      <c r="G1010" t="s">
        <v>39</v>
      </c>
      <c r="H1010" s="8" t="s">
        <v>67</v>
      </c>
      <c r="I1010" s="9">
        <v>12000</v>
      </c>
      <c r="J1010" s="9">
        <v>11129.85</v>
      </c>
      <c r="K1010" s="8" t="s">
        <v>59</v>
      </c>
      <c r="L1010" s="10">
        <v>157571.64000000001</v>
      </c>
      <c r="M1010" s="8" t="s">
        <v>29</v>
      </c>
      <c r="N1010" s="9">
        <v>78992.070000000007</v>
      </c>
      <c r="O1010" s="8" t="s">
        <v>30</v>
      </c>
      <c r="P1010" t="str">
        <f>TEXT(Table1[[#This Row],[Transaction_Date]],"mmm")</f>
        <v>Apr</v>
      </c>
      <c r="Q1010" s="11">
        <v>45764</v>
      </c>
      <c r="R1010" s="8" t="s">
        <v>2324</v>
      </c>
      <c r="S1010" s="8" t="s">
        <v>54</v>
      </c>
      <c r="T1010" s="9">
        <v>24860.39</v>
      </c>
      <c r="U1010" t="s">
        <v>71</v>
      </c>
      <c r="V1010" s="8" t="s">
        <v>62</v>
      </c>
      <c r="W1010"/>
      <c r="X1010"/>
    </row>
    <row r="1011" spans="1:24" x14ac:dyDescent="0.3">
      <c r="A1011" t="s">
        <v>2325</v>
      </c>
      <c r="B1011" t="s">
        <v>662</v>
      </c>
      <c r="C1011">
        <v>36</v>
      </c>
      <c r="D1011" t="s">
        <v>24</v>
      </c>
      <c r="E1011" t="s">
        <v>25</v>
      </c>
      <c r="F1011" t="s">
        <v>24</v>
      </c>
      <c r="G1011" t="s">
        <v>39</v>
      </c>
      <c r="H1011" s="8" t="s">
        <v>40</v>
      </c>
      <c r="I1011" s="9">
        <v>57284.24</v>
      </c>
      <c r="J1011" s="9">
        <v>3949.97</v>
      </c>
      <c r="K1011" s="8" t="s">
        <v>28</v>
      </c>
      <c r="L1011" s="10">
        <v>114178.02</v>
      </c>
      <c r="M1011" s="8" t="s">
        <v>29</v>
      </c>
      <c r="N1011" s="9">
        <v>59499.55</v>
      </c>
      <c r="O1011" s="8" t="s">
        <v>30</v>
      </c>
      <c r="P1011" t="str">
        <f>TEXT(Table1[[#This Row],[Transaction_Date]],"mmm")</f>
        <v>Nov</v>
      </c>
      <c r="Q1011" s="11">
        <v>45987</v>
      </c>
      <c r="R1011" s="8" t="s">
        <v>2326</v>
      </c>
      <c r="S1011" s="8" t="s">
        <v>70</v>
      </c>
      <c r="T1011" s="9">
        <v>1296.1300000000001</v>
      </c>
      <c r="U1011" t="s">
        <v>106</v>
      </c>
      <c r="V1011" s="8" t="s">
        <v>46</v>
      </c>
      <c r="W1011"/>
      <c r="X1011"/>
    </row>
    <row r="1012" spans="1:24" x14ac:dyDescent="0.3">
      <c r="A1012" t="s">
        <v>2327</v>
      </c>
      <c r="B1012" t="s">
        <v>574</v>
      </c>
      <c r="C1012">
        <v>40</v>
      </c>
      <c r="D1012" t="s">
        <v>84</v>
      </c>
      <c r="E1012" t="s">
        <v>85</v>
      </c>
      <c r="F1012" t="s">
        <v>84</v>
      </c>
      <c r="G1012" t="s">
        <v>39</v>
      </c>
      <c r="H1012" s="8" t="s">
        <v>40</v>
      </c>
      <c r="I1012" s="9">
        <v>43293.15</v>
      </c>
      <c r="J1012" s="9">
        <v>20394.150000000001</v>
      </c>
      <c r="K1012" s="8" t="s">
        <v>28</v>
      </c>
      <c r="L1012" s="10">
        <v>120060.21</v>
      </c>
      <c r="M1012" s="8" t="s">
        <v>29</v>
      </c>
      <c r="N1012" s="9">
        <v>105906.05</v>
      </c>
      <c r="O1012" s="8" t="s">
        <v>30</v>
      </c>
      <c r="P1012" t="str">
        <f>TEXT(Table1[[#This Row],[Transaction_Date]],"mmm")</f>
        <v>Jul</v>
      </c>
      <c r="Q1012" s="11">
        <v>45845</v>
      </c>
      <c r="R1012" s="8" t="s">
        <v>2328</v>
      </c>
      <c r="S1012" s="8" t="s">
        <v>54</v>
      </c>
      <c r="T1012" s="9">
        <v>3028.58</v>
      </c>
      <c r="U1012" t="s">
        <v>106</v>
      </c>
      <c r="V1012" s="8" t="s">
        <v>34</v>
      </c>
      <c r="W1012"/>
      <c r="X1012"/>
    </row>
    <row r="1013" spans="1:24" hidden="1" x14ac:dyDescent="0.3">
      <c r="A1013" t="s">
        <v>2329</v>
      </c>
      <c r="B1013" t="s">
        <v>273</v>
      </c>
      <c r="C1013">
        <v>30</v>
      </c>
      <c r="D1013" t="s">
        <v>57</v>
      </c>
      <c r="E1013" t="s">
        <v>58</v>
      </c>
      <c r="F1013" t="s">
        <v>57</v>
      </c>
      <c r="G1013" t="s">
        <v>26</v>
      </c>
      <c r="H1013" s="8" t="s">
        <v>40</v>
      </c>
      <c r="I1013" s="9">
        <v>52968.2</v>
      </c>
      <c r="J1013" s="9">
        <v>12479.27</v>
      </c>
      <c r="K1013" s="8" t="s">
        <v>74</v>
      </c>
      <c r="L1013" s="10">
        <v>0</v>
      </c>
      <c r="M1013" s="8" t="s">
        <v>75</v>
      </c>
      <c r="N1013" s="9">
        <v>0</v>
      </c>
      <c r="O1013" s="8" t="s">
        <v>30</v>
      </c>
      <c r="P1013" t="str">
        <f>TEXT(Table1[[#This Row],[Transaction_Date]],"mmm")</f>
        <v>Mar</v>
      </c>
      <c r="Q1013" s="11">
        <v>45736</v>
      </c>
      <c r="R1013" s="8" t="s">
        <v>2330</v>
      </c>
      <c r="S1013" s="8" t="s">
        <v>54</v>
      </c>
      <c r="T1013" s="9">
        <v>6713.28</v>
      </c>
      <c r="U1013" t="s">
        <v>33</v>
      </c>
      <c r="V1013" s="8" t="s">
        <v>62</v>
      </c>
      <c r="W1013"/>
      <c r="X1013"/>
    </row>
    <row r="1014" spans="1:24" x14ac:dyDescent="0.3">
      <c r="A1014" t="s">
        <v>2331</v>
      </c>
      <c r="B1014" t="s">
        <v>224</v>
      </c>
      <c r="C1014">
        <v>41</v>
      </c>
      <c r="D1014" t="s">
        <v>97</v>
      </c>
      <c r="E1014" t="s">
        <v>98</v>
      </c>
      <c r="F1014" t="s">
        <v>97</v>
      </c>
      <c r="G1014" t="s">
        <v>39</v>
      </c>
      <c r="H1014" s="8" t="s">
        <v>51</v>
      </c>
      <c r="I1014" s="9">
        <v>36135.47</v>
      </c>
      <c r="J1014" s="9">
        <v>30526.5</v>
      </c>
      <c r="K1014" s="8" t="s">
        <v>52</v>
      </c>
      <c r="L1014" s="10">
        <v>35913.4</v>
      </c>
      <c r="M1014" s="8" t="s">
        <v>29</v>
      </c>
      <c r="N1014" s="9">
        <v>15931.8</v>
      </c>
      <c r="O1014" s="8" t="s">
        <v>30</v>
      </c>
      <c r="P1014" t="str">
        <f>TEXT(Table1[[#This Row],[Transaction_Date]],"mmm")</f>
        <v>Dec</v>
      </c>
      <c r="Q1014" s="11">
        <v>45993</v>
      </c>
      <c r="R1014" s="8" t="s">
        <v>2332</v>
      </c>
      <c r="S1014" s="8" t="s">
        <v>44</v>
      </c>
      <c r="T1014" s="9">
        <v>11868.4</v>
      </c>
      <c r="U1014" t="s">
        <v>33</v>
      </c>
      <c r="V1014" s="8" t="s">
        <v>62</v>
      </c>
      <c r="W1014"/>
      <c r="X1014"/>
    </row>
    <row r="1015" spans="1:24" x14ac:dyDescent="0.3">
      <c r="A1015" t="s">
        <v>2333</v>
      </c>
      <c r="B1015" t="s">
        <v>847</v>
      </c>
      <c r="C1015">
        <v>44</v>
      </c>
      <c r="D1015" t="s">
        <v>37</v>
      </c>
      <c r="E1015" t="s">
        <v>38</v>
      </c>
      <c r="F1015" t="s">
        <v>37</v>
      </c>
      <c r="G1015" t="s">
        <v>39</v>
      </c>
      <c r="H1015" s="8" t="s">
        <v>40</v>
      </c>
      <c r="I1015" s="9">
        <v>31848.99</v>
      </c>
      <c r="J1015" s="9">
        <v>15930.74</v>
      </c>
      <c r="K1015" s="8" t="s">
        <v>74</v>
      </c>
      <c r="L1015" s="10">
        <v>0</v>
      </c>
      <c r="M1015" s="8" t="s">
        <v>75</v>
      </c>
      <c r="N1015" s="9">
        <v>0</v>
      </c>
      <c r="O1015" s="8" t="s">
        <v>30</v>
      </c>
      <c r="P1015" t="str">
        <f>TEXT(Table1[[#This Row],[Transaction_Date]],"mmm")</f>
        <v>May</v>
      </c>
      <c r="Q1015" s="11">
        <v>45805</v>
      </c>
      <c r="R1015" s="8" t="s">
        <v>2334</v>
      </c>
      <c r="S1015" s="8" t="s">
        <v>44</v>
      </c>
      <c r="T1015" s="9">
        <v>6023.04</v>
      </c>
      <c r="U1015" t="s">
        <v>106</v>
      </c>
      <c r="V1015" s="8" t="s">
        <v>34</v>
      </c>
      <c r="W1015"/>
      <c r="X1015"/>
    </row>
    <row r="1016" spans="1:24" x14ac:dyDescent="0.3">
      <c r="A1016" t="s">
        <v>2335</v>
      </c>
      <c r="B1016" t="s">
        <v>265</v>
      </c>
      <c r="C1016">
        <v>18</v>
      </c>
      <c r="D1016" t="s">
        <v>24</v>
      </c>
      <c r="E1016" t="s">
        <v>25</v>
      </c>
      <c r="F1016" t="s">
        <v>24</v>
      </c>
      <c r="G1016" t="s">
        <v>39</v>
      </c>
      <c r="H1016" s="8" t="s">
        <v>40</v>
      </c>
      <c r="I1016" s="9">
        <v>71656.03</v>
      </c>
      <c r="J1016" s="9">
        <v>6715.56</v>
      </c>
      <c r="K1016" s="8" t="s">
        <v>68</v>
      </c>
      <c r="L1016" s="10">
        <v>25000</v>
      </c>
      <c r="M1016" s="8" t="s">
        <v>29</v>
      </c>
      <c r="N1016" s="9">
        <v>11456.96</v>
      </c>
      <c r="O1016" s="8" t="s">
        <v>30</v>
      </c>
      <c r="P1016" t="str">
        <f>TEXT(Table1[[#This Row],[Transaction_Date]],"mmm")</f>
        <v>May</v>
      </c>
      <c r="Q1016" s="11">
        <v>45797</v>
      </c>
      <c r="R1016" s="8" t="s">
        <v>2336</v>
      </c>
      <c r="S1016" s="8" t="s">
        <v>44</v>
      </c>
      <c r="T1016" s="9">
        <v>8634.5400000000009</v>
      </c>
      <c r="U1016" t="s">
        <v>45</v>
      </c>
      <c r="V1016" s="8" t="s">
        <v>62</v>
      </c>
      <c r="W1016"/>
      <c r="X1016"/>
    </row>
    <row r="1017" spans="1:24" x14ac:dyDescent="0.3">
      <c r="A1017" t="s">
        <v>2337</v>
      </c>
      <c r="B1017" t="s">
        <v>376</v>
      </c>
      <c r="C1017">
        <v>49</v>
      </c>
      <c r="D1017" t="s">
        <v>92</v>
      </c>
      <c r="E1017" t="s">
        <v>93</v>
      </c>
      <c r="F1017" t="s">
        <v>92</v>
      </c>
      <c r="G1017" t="s">
        <v>39</v>
      </c>
      <c r="H1017" s="8" t="s">
        <v>40</v>
      </c>
      <c r="I1017" s="9">
        <v>65831.899999999994</v>
      </c>
      <c r="J1017" s="9">
        <v>36049.879999999997</v>
      </c>
      <c r="K1017" s="8" t="s">
        <v>74</v>
      </c>
      <c r="L1017" s="10">
        <v>0</v>
      </c>
      <c r="M1017" s="8" t="s">
        <v>75</v>
      </c>
      <c r="N1017" s="9">
        <v>0</v>
      </c>
      <c r="O1017" s="8" t="s">
        <v>30</v>
      </c>
      <c r="P1017" t="str">
        <f>TEXT(Table1[[#This Row],[Transaction_Date]],"mmm")</f>
        <v>Aug</v>
      </c>
      <c r="Q1017" s="11">
        <v>45873</v>
      </c>
      <c r="R1017" s="8" t="s">
        <v>2338</v>
      </c>
      <c r="S1017" s="8" t="s">
        <v>70</v>
      </c>
      <c r="T1017" s="9">
        <v>2352.3000000000002</v>
      </c>
      <c r="U1017" t="s">
        <v>33</v>
      </c>
      <c r="V1017" s="8" t="s">
        <v>62</v>
      </c>
      <c r="W1017"/>
      <c r="X1017"/>
    </row>
    <row r="1018" spans="1:24" x14ac:dyDescent="0.3">
      <c r="A1018" t="s">
        <v>2339</v>
      </c>
      <c r="B1018" t="s">
        <v>418</v>
      </c>
      <c r="C1018">
        <v>36</v>
      </c>
      <c r="D1018" t="s">
        <v>65</v>
      </c>
      <c r="E1018" t="s">
        <v>66</v>
      </c>
      <c r="F1018" t="s">
        <v>65</v>
      </c>
      <c r="G1018" t="s">
        <v>39</v>
      </c>
      <c r="H1018" s="8" t="s">
        <v>40</v>
      </c>
      <c r="I1018" s="9">
        <v>82435.210000000006</v>
      </c>
      <c r="J1018" s="9">
        <v>7700.66</v>
      </c>
      <c r="K1018" s="8" t="s">
        <v>74</v>
      </c>
      <c r="L1018" s="10">
        <v>0</v>
      </c>
      <c r="M1018" s="8" t="s">
        <v>75</v>
      </c>
      <c r="N1018" s="9">
        <v>0</v>
      </c>
      <c r="O1018" s="8" t="s">
        <v>30</v>
      </c>
      <c r="P1018" t="str">
        <f>TEXT(Table1[[#This Row],[Transaction_Date]],"mmm")</f>
        <v>Mar</v>
      </c>
      <c r="Q1018" s="11">
        <v>45744</v>
      </c>
      <c r="R1018" s="8" t="s">
        <v>2340</v>
      </c>
      <c r="S1018" s="8" t="s">
        <v>32</v>
      </c>
      <c r="T1018" s="9">
        <v>2502.39</v>
      </c>
      <c r="U1018" t="s">
        <v>61</v>
      </c>
      <c r="V1018" s="8" t="s">
        <v>62</v>
      </c>
      <c r="W1018"/>
      <c r="X1018"/>
    </row>
    <row r="1019" spans="1:24" hidden="1" x14ac:dyDescent="0.3">
      <c r="A1019" t="s">
        <v>2341</v>
      </c>
      <c r="B1019" t="s">
        <v>418</v>
      </c>
      <c r="C1019">
        <v>49</v>
      </c>
      <c r="D1019" t="s">
        <v>92</v>
      </c>
      <c r="E1019" t="s">
        <v>93</v>
      </c>
      <c r="F1019" t="s">
        <v>92</v>
      </c>
      <c r="G1019" t="s">
        <v>80</v>
      </c>
      <c r="H1019" s="8" t="s">
        <v>51</v>
      </c>
      <c r="I1019" s="9">
        <v>85014.28</v>
      </c>
      <c r="J1019" s="9">
        <v>182923.72</v>
      </c>
      <c r="K1019" s="8" t="s">
        <v>68</v>
      </c>
      <c r="L1019" s="10">
        <v>25000</v>
      </c>
      <c r="M1019" s="8" t="s">
        <v>29</v>
      </c>
      <c r="N1019" s="9">
        <v>12513.02</v>
      </c>
      <c r="O1019" s="8" t="s">
        <v>30</v>
      </c>
      <c r="P1019" t="str">
        <f>TEXT(Table1[[#This Row],[Transaction_Date]],"mmm")</f>
        <v>Sep</v>
      </c>
      <c r="Q1019" s="11">
        <v>45907</v>
      </c>
      <c r="R1019" s="8" t="s">
        <v>2342</v>
      </c>
      <c r="S1019" s="8" t="s">
        <v>32</v>
      </c>
      <c r="T1019" s="9">
        <v>1755.15</v>
      </c>
      <c r="U1019" t="s">
        <v>106</v>
      </c>
      <c r="V1019" s="8" t="s">
        <v>62</v>
      </c>
      <c r="W1019"/>
      <c r="X1019"/>
    </row>
    <row r="1020" spans="1:24" hidden="1" x14ac:dyDescent="0.3">
      <c r="A1020" t="s">
        <v>2343</v>
      </c>
      <c r="B1020" t="s">
        <v>1083</v>
      </c>
      <c r="C1020">
        <v>36</v>
      </c>
      <c r="D1020" t="s">
        <v>84</v>
      </c>
      <c r="E1020" t="s">
        <v>85</v>
      </c>
      <c r="F1020" t="s">
        <v>84</v>
      </c>
      <c r="G1020" t="s">
        <v>80</v>
      </c>
      <c r="H1020" s="8" t="s">
        <v>40</v>
      </c>
      <c r="I1020" s="9">
        <v>26727.33</v>
      </c>
      <c r="J1020" s="9">
        <v>40399.17</v>
      </c>
      <c r="K1020" s="8" t="s">
        <v>52</v>
      </c>
      <c r="L1020" s="10">
        <v>25000</v>
      </c>
      <c r="M1020" s="8" t="s">
        <v>29</v>
      </c>
      <c r="N1020" s="9">
        <v>17213.759999999998</v>
      </c>
      <c r="O1020" s="8" t="s">
        <v>30</v>
      </c>
      <c r="P1020" t="str">
        <f>TEXT(Table1[[#This Row],[Transaction_Date]],"mmm")</f>
        <v>Dec</v>
      </c>
      <c r="Q1020" s="11">
        <v>46003</v>
      </c>
      <c r="R1020" s="8" t="s">
        <v>2344</v>
      </c>
      <c r="S1020" s="8" t="s">
        <v>44</v>
      </c>
      <c r="T1020" s="9">
        <v>15467.01</v>
      </c>
      <c r="U1020" t="s">
        <v>61</v>
      </c>
      <c r="V1020" s="8" t="s">
        <v>46</v>
      </c>
      <c r="W1020"/>
      <c r="X1020"/>
    </row>
    <row r="1021" spans="1:24" hidden="1" x14ac:dyDescent="0.3">
      <c r="A1021" t="s">
        <v>2345</v>
      </c>
      <c r="B1021" t="s">
        <v>774</v>
      </c>
      <c r="C1021">
        <v>28</v>
      </c>
      <c r="D1021" t="s">
        <v>24</v>
      </c>
      <c r="E1021" t="s">
        <v>25</v>
      </c>
      <c r="F1021" t="s">
        <v>24</v>
      </c>
      <c r="G1021" t="s">
        <v>80</v>
      </c>
      <c r="H1021" s="8" t="s">
        <v>67</v>
      </c>
      <c r="I1021" s="9">
        <v>12000</v>
      </c>
      <c r="J1021" s="9">
        <v>38204.11</v>
      </c>
      <c r="K1021" s="8" t="s">
        <v>68</v>
      </c>
      <c r="L1021" s="10">
        <v>96758.14</v>
      </c>
      <c r="M1021" s="8" t="s">
        <v>29</v>
      </c>
      <c r="N1021" s="9">
        <v>56494.25</v>
      </c>
      <c r="O1021" s="8" t="s">
        <v>228</v>
      </c>
      <c r="P1021" t="str">
        <f>TEXT(Table1[[#This Row],[Transaction_Date]],"mmm")</f>
        <v>Apr</v>
      </c>
      <c r="Q1021" s="11">
        <v>45760</v>
      </c>
      <c r="R1021" s="8" t="s">
        <v>2346</v>
      </c>
      <c r="S1021" s="8" t="s">
        <v>70</v>
      </c>
      <c r="T1021" s="9">
        <v>1087.7</v>
      </c>
      <c r="U1021" t="s">
        <v>61</v>
      </c>
      <c r="V1021" s="8" t="s">
        <v>46</v>
      </c>
      <c r="W1021"/>
      <c r="X1021"/>
    </row>
    <row r="1022" spans="1:24" hidden="1" x14ac:dyDescent="0.3">
      <c r="A1022" t="s">
        <v>2347</v>
      </c>
      <c r="B1022" t="s">
        <v>129</v>
      </c>
      <c r="C1022">
        <v>32</v>
      </c>
      <c r="D1022" t="s">
        <v>97</v>
      </c>
      <c r="E1022" t="s">
        <v>98</v>
      </c>
      <c r="F1022" t="s">
        <v>97</v>
      </c>
      <c r="G1022" t="s">
        <v>26</v>
      </c>
      <c r="H1022" s="8" t="s">
        <v>40</v>
      </c>
      <c r="I1022" s="9">
        <v>30355.63</v>
      </c>
      <c r="J1022" s="9">
        <v>87669.62</v>
      </c>
      <c r="K1022" s="8" t="s">
        <v>59</v>
      </c>
      <c r="L1022" s="10">
        <v>34542.870000000003</v>
      </c>
      <c r="M1022" s="8" t="s">
        <v>29</v>
      </c>
      <c r="N1022" s="9">
        <v>12641.05</v>
      </c>
      <c r="O1022" s="8" t="s">
        <v>30</v>
      </c>
      <c r="P1022" t="str">
        <f>TEXT(Table1[[#This Row],[Transaction_Date]],"mmm")</f>
        <v>Jun</v>
      </c>
      <c r="Q1022" s="11">
        <v>45817</v>
      </c>
      <c r="R1022" s="8" t="s">
        <v>2348</v>
      </c>
      <c r="S1022" s="8" t="s">
        <v>54</v>
      </c>
      <c r="T1022" s="9">
        <v>1078.53</v>
      </c>
      <c r="U1022" t="s">
        <v>71</v>
      </c>
      <c r="V1022" s="8" t="s">
        <v>62</v>
      </c>
      <c r="W1022"/>
      <c r="X1022"/>
    </row>
    <row r="1023" spans="1:24" x14ac:dyDescent="0.3">
      <c r="A1023" t="s">
        <v>2349</v>
      </c>
      <c r="B1023" t="s">
        <v>1531</v>
      </c>
      <c r="C1023">
        <v>46</v>
      </c>
      <c r="D1023" t="s">
        <v>24</v>
      </c>
      <c r="E1023" t="s">
        <v>25</v>
      </c>
      <c r="F1023" t="s">
        <v>24</v>
      </c>
      <c r="G1023" t="s">
        <v>39</v>
      </c>
      <c r="H1023" s="8" t="s">
        <v>40</v>
      </c>
      <c r="I1023" s="9">
        <v>41941.01</v>
      </c>
      <c r="J1023" s="9">
        <v>7138.08</v>
      </c>
      <c r="K1023" s="8" t="s">
        <v>74</v>
      </c>
      <c r="L1023" s="10">
        <v>0</v>
      </c>
      <c r="M1023" s="8" t="s">
        <v>75</v>
      </c>
      <c r="N1023" s="9">
        <v>0</v>
      </c>
      <c r="O1023" s="8" t="s">
        <v>30</v>
      </c>
      <c r="P1023" t="str">
        <f>TEXT(Table1[[#This Row],[Transaction_Date]],"mmm")</f>
        <v>Mar</v>
      </c>
      <c r="Q1023" s="11">
        <v>45718</v>
      </c>
      <c r="R1023" s="8" t="s">
        <v>2350</v>
      </c>
      <c r="S1023" s="8" t="s">
        <v>70</v>
      </c>
      <c r="T1023" s="9">
        <v>1966.76</v>
      </c>
      <c r="U1023" t="s">
        <v>106</v>
      </c>
      <c r="V1023" s="8" t="s">
        <v>46</v>
      </c>
      <c r="W1023"/>
      <c r="X1023"/>
    </row>
    <row r="1024" spans="1:24" hidden="1" x14ac:dyDescent="0.3">
      <c r="A1024" t="s">
        <v>2351</v>
      </c>
      <c r="B1024" t="s">
        <v>129</v>
      </c>
      <c r="C1024">
        <v>39</v>
      </c>
      <c r="D1024" t="s">
        <v>97</v>
      </c>
      <c r="E1024" t="s">
        <v>98</v>
      </c>
      <c r="F1024" t="s">
        <v>97</v>
      </c>
      <c r="G1024" t="s">
        <v>51</v>
      </c>
      <c r="H1024" s="8" t="s">
        <v>40</v>
      </c>
      <c r="I1024" s="9">
        <v>53537.67</v>
      </c>
      <c r="J1024" s="9">
        <v>23744.66</v>
      </c>
      <c r="K1024" s="8" t="s">
        <v>74</v>
      </c>
      <c r="L1024" s="10">
        <v>0</v>
      </c>
      <c r="M1024" s="8" t="s">
        <v>75</v>
      </c>
      <c r="N1024" s="9">
        <v>0</v>
      </c>
      <c r="O1024" s="8" t="s">
        <v>30</v>
      </c>
      <c r="P1024" t="str">
        <f>TEXT(Table1[[#This Row],[Transaction_Date]],"mmm")</f>
        <v>Jan</v>
      </c>
      <c r="Q1024" s="11">
        <v>45661</v>
      </c>
      <c r="R1024" s="8" t="s">
        <v>2352</v>
      </c>
      <c r="S1024" s="8" t="s">
        <v>32</v>
      </c>
      <c r="T1024" s="9">
        <v>1944.2</v>
      </c>
      <c r="U1024" t="s">
        <v>77</v>
      </c>
      <c r="V1024" s="8" t="s">
        <v>46</v>
      </c>
      <c r="W1024"/>
      <c r="X1024"/>
    </row>
    <row r="1025" spans="1:24" x14ac:dyDescent="0.3">
      <c r="A1025" t="s">
        <v>2353</v>
      </c>
      <c r="B1025" t="s">
        <v>600</v>
      </c>
      <c r="C1025">
        <v>33</v>
      </c>
      <c r="D1025" t="s">
        <v>37</v>
      </c>
      <c r="E1025" t="s">
        <v>38</v>
      </c>
      <c r="F1025" t="s">
        <v>37</v>
      </c>
      <c r="G1025" t="s">
        <v>39</v>
      </c>
      <c r="H1025" s="8" t="s">
        <v>40</v>
      </c>
      <c r="I1025" s="9">
        <v>82763</v>
      </c>
      <c r="J1025" s="9">
        <v>10142.52</v>
      </c>
      <c r="K1025" s="8" t="s">
        <v>74</v>
      </c>
      <c r="L1025" s="10">
        <v>0</v>
      </c>
      <c r="M1025" s="8" t="s">
        <v>75</v>
      </c>
      <c r="N1025" s="9">
        <v>0</v>
      </c>
      <c r="O1025" s="8" t="s">
        <v>30</v>
      </c>
      <c r="P1025" t="str">
        <f>TEXT(Table1[[#This Row],[Transaction_Date]],"mmm")</f>
        <v>Oct</v>
      </c>
      <c r="Q1025" s="11">
        <v>45955</v>
      </c>
      <c r="R1025" s="8" t="s">
        <v>2354</v>
      </c>
      <c r="S1025" s="8" t="s">
        <v>44</v>
      </c>
      <c r="T1025" s="9">
        <v>1760.22</v>
      </c>
      <c r="U1025" t="s">
        <v>106</v>
      </c>
      <c r="V1025" s="8" t="s">
        <v>62</v>
      </c>
      <c r="W1025"/>
      <c r="X1025"/>
    </row>
    <row r="1026" spans="1:24" x14ac:dyDescent="0.3">
      <c r="A1026" t="s">
        <v>2355</v>
      </c>
      <c r="B1026" t="s">
        <v>659</v>
      </c>
      <c r="C1026">
        <v>33</v>
      </c>
      <c r="D1026" t="s">
        <v>65</v>
      </c>
      <c r="E1026" t="s">
        <v>66</v>
      </c>
      <c r="F1026" t="s">
        <v>65</v>
      </c>
      <c r="G1026" t="s">
        <v>39</v>
      </c>
      <c r="H1026" s="8" t="s">
        <v>67</v>
      </c>
      <c r="I1026" s="9">
        <v>12000</v>
      </c>
      <c r="J1026" s="9">
        <v>8981.17</v>
      </c>
      <c r="K1026" s="8" t="s">
        <v>59</v>
      </c>
      <c r="L1026" s="10">
        <v>77735.820000000007</v>
      </c>
      <c r="M1026" s="8" t="s">
        <v>29</v>
      </c>
      <c r="N1026" s="9">
        <v>43790.07</v>
      </c>
      <c r="O1026" s="8" t="s">
        <v>30</v>
      </c>
      <c r="P1026" t="str">
        <f>TEXT(Table1[[#This Row],[Transaction_Date]],"mmm")</f>
        <v>Aug</v>
      </c>
      <c r="Q1026" s="11">
        <v>45877</v>
      </c>
      <c r="R1026" s="8" t="s">
        <v>2356</v>
      </c>
      <c r="S1026" s="8" t="s">
        <v>32</v>
      </c>
      <c r="T1026" s="9">
        <v>1410.96</v>
      </c>
      <c r="U1026" t="s">
        <v>33</v>
      </c>
      <c r="V1026" s="8" t="s">
        <v>62</v>
      </c>
      <c r="W1026"/>
      <c r="X1026"/>
    </row>
    <row r="1027" spans="1:24" hidden="1" x14ac:dyDescent="0.3">
      <c r="A1027" t="s">
        <v>2357</v>
      </c>
      <c r="B1027" t="s">
        <v>771</v>
      </c>
      <c r="C1027">
        <v>48</v>
      </c>
      <c r="D1027" t="s">
        <v>49</v>
      </c>
      <c r="E1027" t="s">
        <v>50</v>
      </c>
      <c r="F1027" t="s">
        <v>49</v>
      </c>
      <c r="G1027" t="s">
        <v>26</v>
      </c>
      <c r="H1027" s="8" t="s">
        <v>40</v>
      </c>
      <c r="I1027" s="9">
        <v>23756.47</v>
      </c>
      <c r="J1027" s="9">
        <v>9264.23</v>
      </c>
      <c r="K1027" s="8" t="s">
        <v>68</v>
      </c>
      <c r="L1027" s="10">
        <v>89849.27</v>
      </c>
      <c r="M1027" s="8" t="s">
        <v>29</v>
      </c>
      <c r="N1027" s="9">
        <v>44057.43</v>
      </c>
      <c r="O1027" s="8" t="s">
        <v>30</v>
      </c>
      <c r="P1027" t="str">
        <f>TEXT(Table1[[#This Row],[Transaction_Date]],"mmm")</f>
        <v>Apr</v>
      </c>
      <c r="Q1027" s="11">
        <v>45765</v>
      </c>
      <c r="R1027" s="8" t="s">
        <v>2358</v>
      </c>
      <c r="S1027" s="8" t="s">
        <v>70</v>
      </c>
      <c r="T1027" s="9">
        <v>2678.85</v>
      </c>
      <c r="U1027" t="s">
        <v>106</v>
      </c>
      <c r="V1027" s="8" t="s">
        <v>34</v>
      </c>
      <c r="W1027"/>
      <c r="X1027"/>
    </row>
    <row r="1028" spans="1:24" hidden="1" x14ac:dyDescent="0.3">
      <c r="A1028" t="s">
        <v>2359</v>
      </c>
      <c r="B1028" t="s">
        <v>962</v>
      </c>
      <c r="C1028">
        <v>51</v>
      </c>
      <c r="D1028" t="s">
        <v>65</v>
      </c>
      <c r="E1028" t="s">
        <v>66</v>
      </c>
      <c r="F1028" t="s">
        <v>65</v>
      </c>
      <c r="G1028" t="s">
        <v>26</v>
      </c>
      <c r="H1028" s="8" t="s">
        <v>40</v>
      </c>
      <c r="I1028" s="9">
        <v>68535.42</v>
      </c>
      <c r="J1028" s="9">
        <v>5853.92</v>
      </c>
      <c r="K1028" s="8" t="s">
        <v>68</v>
      </c>
      <c r="L1028" s="10">
        <v>102898.66</v>
      </c>
      <c r="M1028" s="8" t="s">
        <v>29</v>
      </c>
      <c r="N1028" s="9">
        <v>60756.5</v>
      </c>
      <c r="O1028" s="8" t="s">
        <v>30</v>
      </c>
      <c r="P1028" t="str">
        <f>TEXT(Table1[[#This Row],[Transaction_Date]],"mmm")</f>
        <v>Dec</v>
      </c>
      <c r="Q1028" s="11">
        <v>45998</v>
      </c>
      <c r="R1028" s="8" t="s">
        <v>2360</v>
      </c>
      <c r="S1028" s="8" t="s">
        <v>32</v>
      </c>
      <c r="T1028" s="9">
        <v>819.71</v>
      </c>
      <c r="U1028" t="s">
        <v>45</v>
      </c>
      <c r="V1028" s="8" t="s">
        <v>62</v>
      </c>
      <c r="W1028"/>
      <c r="X1028"/>
    </row>
    <row r="1029" spans="1:24" x14ac:dyDescent="0.3">
      <c r="A1029" t="s">
        <v>2361</v>
      </c>
      <c r="B1029" t="s">
        <v>784</v>
      </c>
      <c r="C1029">
        <v>49</v>
      </c>
      <c r="D1029" t="s">
        <v>24</v>
      </c>
      <c r="E1029" t="s">
        <v>25</v>
      </c>
      <c r="F1029" t="s">
        <v>24</v>
      </c>
      <c r="G1029" t="s">
        <v>39</v>
      </c>
      <c r="H1029" s="8" t="s">
        <v>67</v>
      </c>
      <c r="I1029" s="9">
        <v>27242.02</v>
      </c>
      <c r="J1029" s="9">
        <v>48550.11</v>
      </c>
      <c r="K1029" s="8" t="s">
        <v>68</v>
      </c>
      <c r="L1029" s="10">
        <v>223993.96</v>
      </c>
      <c r="M1029" s="8" t="s">
        <v>29</v>
      </c>
      <c r="N1029" s="9">
        <v>77535.92</v>
      </c>
      <c r="O1029" s="8" t="s">
        <v>30</v>
      </c>
      <c r="P1029" t="str">
        <f>TEXT(Table1[[#This Row],[Transaction_Date]],"mmm")</f>
        <v>Aug</v>
      </c>
      <c r="Q1029" s="11">
        <v>45892</v>
      </c>
      <c r="R1029" s="8" t="s">
        <v>2362</v>
      </c>
      <c r="S1029" s="8" t="s">
        <v>70</v>
      </c>
      <c r="T1029" s="9">
        <v>1856.45</v>
      </c>
      <c r="U1029" t="s">
        <v>33</v>
      </c>
      <c r="V1029" s="8" t="s">
        <v>46</v>
      </c>
      <c r="W1029"/>
      <c r="X1029"/>
    </row>
    <row r="1030" spans="1:24" x14ac:dyDescent="0.3">
      <c r="A1030" t="s">
        <v>2363</v>
      </c>
      <c r="B1030" t="s">
        <v>510</v>
      </c>
      <c r="C1030">
        <v>36</v>
      </c>
      <c r="D1030" t="s">
        <v>84</v>
      </c>
      <c r="E1030" t="s">
        <v>85</v>
      </c>
      <c r="F1030" t="s">
        <v>84</v>
      </c>
      <c r="G1030" t="s">
        <v>39</v>
      </c>
      <c r="H1030" s="8" t="s">
        <v>40</v>
      </c>
      <c r="I1030" s="9">
        <v>66236.86</v>
      </c>
      <c r="J1030" s="9">
        <v>24121.84</v>
      </c>
      <c r="K1030" s="8" t="s">
        <v>74</v>
      </c>
      <c r="L1030" s="10">
        <v>0</v>
      </c>
      <c r="M1030" s="8" t="s">
        <v>75</v>
      </c>
      <c r="N1030" s="9">
        <v>0</v>
      </c>
      <c r="O1030" s="8" t="s">
        <v>30</v>
      </c>
      <c r="P1030" t="str">
        <f>TEXT(Table1[[#This Row],[Transaction_Date]],"mmm")</f>
        <v>Feb</v>
      </c>
      <c r="Q1030" s="11">
        <v>45689</v>
      </c>
      <c r="R1030" s="8" t="s">
        <v>2364</v>
      </c>
      <c r="S1030" s="8" t="s">
        <v>44</v>
      </c>
      <c r="T1030" s="9">
        <v>2330.64</v>
      </c>
      <c r="U1030" t="s">
        <v>33</v>
      </c>
      <c r="V1030" s="8" t="s">
        <v>34</v>
      </c>
      <c r="W1030"/>
      <c r="X1030"/>
    </row>
    <row r="1031" spans="1:24" x14ac:dyDescent="0.3">
      <c r="A1031" t="s">
        <v>2365</v>
      </c>
      <c r="B1031" t="s">
        <v>1045</v>
      </c>
      <c r="C1031">
        <v>38</v>
      </c>
      <c r="D1031" t="s">
        <v>97</v>
      </c>
      <c r="E1031" t="s">
        <v>98</v>
      </c>
      <c r="F1031" t="s">
        <v>97</v>
      </c>
      <c r="G1031" t="s">
        <v>39</v>
      </c>
      <c r="H1031" s="8" t="s">
        <v>51</v>
      </c>
      <c r="I1031" s="9">
        <v>50577.15</v>
      </c>
      <c r="J1031" s="9">
        <v>7630.2</v>
      </c>
      <c r="K1031" s="8" t="s">
        <v>74</v>
      </c>
      <c r="L1031" s="10">
        <v>0</v>
      </c>
      <c r="M1031" s="8" t="s">
        <v>75</v>
      </c>
      <c r="N1031" s="9">
        <v>0</v>
      </c>
      <c r="O1031" s="8" t="s">
        <v>30</v>
      </c>
      <c r="P1031" t="str">
        <f>TEXT(Table1[[#This Row],[Transaction_Date]],"mmm")</f>
        <v>Oct</v>
      </c>
      <c r="Q1031" s="11">
        <v>45952</v>
      </c>
      <c r="R1031" s="8" t="s">
        <v>2366</v>
      </c>
      <c r="S1031" s="8" t="s">
        <v>44</v>
      </c>
      <c r="T1031" s="9">
        <v>3787.33</v>
      </c>
      <c r="U1031" t="s">
        <v>33</v>
      </c>
      <c r="V1031" s="8" t="s">
        <v>34</v>
      </c>
      <c r="W1031"/>
      <c r="X1031"/>
    </row>
    <row r="1032" spans="1:24" x14ac:dyDescent="0.3">
      <c r="A1032" t="s">
        <v>2367</v>
      </c>
      <c r="B1032" t="s">
        <v>729</v>
      </c>
      <c r="C1032">
        <v>43</v>
      </c>
      <c r="D1032" t="s">
        <v>37</v>
      </c>
      <c r="E1032" t="s">
        <v>38</v>
      </c>
      <c r="F1032" t="s">
        <v>37</v>
      </c>
      <c r="G1032" t="s">
        <v>39</v>
      </c>
      <c r="H1032" s="8" t="s">
        <v>40</v>
      </c>
      <c r="I1032" s="9">
        <v>24943.35</v>
      </c>
      <c r="J1032" s="9">
        <v>72222.59</v>
      </c>
      <c r="K1032" s="8" t="s">
        <v>74</v>
      </c>
      <c r="L1032" s="10">
        <v>0</v>
      </c>
      <c r="M1032" s="8" t="s">
        <v>75</v>
      </c>
      <c r="N1032" s="9">
        <v>0</v>
      </c>
      <c r="O1032" s="8" t="s">
        <v>30</v>
      </c>
      <c r="P1032" t="str">
        <f>TEXT(Table1[[#This Row],[Transaction_Date]],"mmm")</f>
        <v>Dec</v>
      </c>
      <c r="Q1032" s="11">
        <v>45996</v>
      </c>
      <c r="R1032" s="8" t="s">
        <v>2368</v>
      </c>
      <c r="S1032" s="8" t="s">
        <v>54</v>
      </c>
      <c r="T1032" s="9">
        <v>18877.240000000002</v>
      </c>
      <c r="U1032" t="s">
        <v>106</v>
      </c>
      <c r="V1032" s="8" t="s">
        <v>62</v>
      </c>
      <c r="W1032"/>
      <c r="X1032"/>
    </row>
    <row r="1033" spans="1:24" hidden="1" x14ac:dyDescent="0.3">
      <c r="A1033" t="s">
        <v>2369</v>
      </c>
      <c r="B1033" t="s">
        <v>1193</v>
      </c>
      <c r="C1033">
        <v>42</v>
      </c>
      <c r="D1033" t="s">
        <v>84</v>
      </c>
      <c r="E1033" t="s">
        <v>85</v>
      </c>
      <c r="F1033" t="s">
        <v>84</v>
      </c>
      <c r="G1033" t="s">
        <v>80</v>
      </c>
      <c r="H1033" s="8" t="s">
        <v>51</v>
      </c>
      <c r="I1033" s="9">
        <v>80133.91</v>
      </c>
      <c r="J1033" s="9">
        <v>17096.68</v>
      </c>
      <c r="K1033" s="8" t="s">
        <v>74</v>
      </c>
      <c r="L1033" s="10">
        <v>0</v>
      </c>
      <c r="M1033" s="8" t="s">
        <v>75</v>
      </c>
      <c r="N1033" s="9">
        <v>0</v>
      </c>
      <c r="O1033" s="8" t="s">
        <v>30</v>
      </c>
      <c r="P1033" t="str">
        <f>TEXT(Table1[[#This Row],[Transaction_Date]],"mmm")</f>
        <v>Jul</v>
      </c>
      <c r="Q1033" s="11">
        <v>45857</v>
      </c>
      <c r="R1033" s="8" t="s">
        <v>2370</v>
      </c>
      <c r="S1033" s="8" t="s">
        <v>1527</v>
      </c>
      <c r="T1033" s="9">
        <v>3647</v>
      </c>
      <c r="U1033" t="s">
        <v>33</v>
      </c>
      <c r="V1033" s="8" t="s">
        <v>34</v>
      </c>
      <c r="W1033"/>
      <c r="X1033"/>
    </row>
    <row r="1034" spans="1:24" hidden="1" x14ac:dyDescent="0.3">
      <c r="A1034" t="s">
        <v>2371</v>
      </c>
      <c r="B1034" t="s">
        <v>88</v>
      </c>
      <c r="C1034">
        <v>37</v>
      </c>
      <c r="D1034" t="s">
        <v>37</v>
      </c>
      <c r="E1034" t="s">
        <v>38</v>
      </c>
      <c r="F1034" t="s">
        <v>37</v>
      </c>
      <c r="G1034" t="s">
        <v>26</v>
      </c>
      <c r="H1034" s="8" t="s">
        <v>40</v>
      </c>
      <c r="I1034" s="9">
        <v>56667.35</v>
      </c>
      <c r="J1034" s="9">
        <v>36021.089999999997</v>
      </c>
      <c r="K1034" s="8" t="s">
        <v>68</v>
      </c>
      <c r="L1034" s="10">
        <v>39513.51</v>
      </c>
      <c r="M1034" s="8" t="s">
        <v>29</v>
      </c>
      <c r="N1034" s="9">
        <v>30972.71</v>
      </c>
      <c r="O1034" s="8" t="s">
        <v>30</v>
      </c>
      <c r="P1034" t="str">
        <f>TEXT(Table1[[#This Row],[Transaction_Date]],"mmm")</f>
        <v>Jan</v>
      </c>
      <c r="Q1034" s="11">
        <v>45667</v>
      </c>
      <c r="R1034" s="8" t="s">
        <v>2372</v>
      </c>
      <c r="S1034" s="8" t="s">
        <v>54</v>
      </c>
      <c r="T1034" s="9">
        <v>1944.84</v>
      </c>
      <c r="U1034" t="s">
        <v>61</v>
      </c>
      <c r="V1034" s="8" t="s">
        <v>46</v>
      </c>
      <c r="W1034"/>
      <c r="X1034"/>
    </row>
    <row r="1035" spans="1:24" hidden="1" x14ac:dyDescent="0.3">
      <c r="A1035" t="s">
        <v>2373</v>
      </c>
      <c r="B1035" t="s">
        <v>527</v>
      </c>
      <c r="C1035">
        <v>37</v>
      </c>
      <c r="D1035" t="s">
        <v>49</v>
      </c>
      <c r="E1035" t="s">
        <v>50</v>
      </c>
      <c r="F1035" t="s">
        <v>49</v>
      </c>
      <c r="G1035" t="s">
        <v>26</v>
      </c>
      <c r="H1035" s="8" t="s">
        <v>27</v>
      </c>
      <c r="I1035" s="9">
        <v>91365.9</v>
      </c>
      <c r="J1035" s="9">
        <v>9622.7900000000009</v>
      </c>
      <c r="K1035" s="8" t="s">
        <v>68</v>
      </c>
      <c r="L1035" s="10">
        <v>111472</v>
      </c>
      <c r="M1035" s="8" t="s">
        <v>29</v>
      </c>
      <c r="N1035" s="9">
        <v>95841.51</v>
      </c>
      <c r="O1035" s="8" t="s">
        <v>228</v>
      </c>
      <c r="P1035" t="str">
        <f>TEXT(Table1[[#This Row],[Transaction_Date]],"mmm")</f>
        <v>Dec</v>
      </c>
      <c r="Q1035" s="11">
        <v>46022</v>
      </c>
      <c r="R1035" s="8" t="s">
        <v>2374</v>
      </c>
      <c r="S1035" s="8" t="s">
        <v>44</v>
      </c>
      <c r="T1035" s="9">
        <v>2952.84</v>
      </c>
      <c r="U1035" t="s">
        <v>61</v>
      </c>
      <c r="V1035" s="8" t="s">
        <v>34</v>
      </c>
      <c r="W1035"/>
      <c r="X1035"/>
    </row>
    <row r="1036" spans="1:24" x14ac:dyDescent="0.3">
      <c r="A1036" t="s">
        <v>2375</v>
      </c>
      <c r="B1036" t="s">
        <v>144</v>
      </c>
      <c r="C1036">
        <v>23</v>
      </c>
      <c r="D1036" t="s">
        <v>65</v>
      </c>
      <c r="E1036" t="s">
        <v>66</v>
      </c>
      <c r="F1036" t="s">
        <v>65</v>
      </c>
      <c r="G1036" t="s">
        <v>39</v>
      </c>
      <c r="H1036" s="8" t="s">
        <v>51</v>
      </c>
      <c r="I1036" s="9">
        <v>49908.5</v>
      </c>
      <c r="J1036" s="9">
        <v>60747.11</v>
      </c>
      <c r="K1036" s="8" t="s">
        <v>74</v>
      </c>
      <c r="L1036" s="10">
        <v>0</v>
      </c>
      <c r="M1036" s="8" t="s">
        <v>75</v>
      </c>
      <c r="N1036" s="9">
        <v>0</v>
      </c>
      <c r="O1036" s="8" t="s">
        <v>30</v>
      </c>
      <c r="P1036" t="str">
        <f>TEXT(Table1[[#This Row],[Transaction_Date]],"mmm")</f>
        <v>May</v>
      </c>
      <c r="Q1036" s="11">
        <v>45795</v>
      </c>
      <c r="R1036" s="8" t="s">
        <v>2376</v>
      </c>
      <c r="S1036" s="8" t="s">
        <v>54</v>
      </c>
      <c r="T1036" s="9">
        <v>2990.65</v>
      </c>
      <c r="U1036" t="s">
        <v>71</v>
      </c>
      <c r="V1036" s="8" t="s">
        <v>62</v>
      </c>
      <c r="W1036"/>
      <c r="X1036"/>
    </row>
    <row r="1037" spans="1:24" x14ac:dyDescent="0.3">
      <c r="A1037" t="s">
        <v>2377</v>
      </c>
      <c r="B1037" t="s">
        <v>294</v>
      </c>
      <c r="C1037">
        <v>24</v>
      </c>
      <c r="D1037" t="s">
        <v>65</v>
      </c>
      <c r="E1037" t="s">
        <v>66</v>
      </c>
      <c r="F1037" t="s">
        <v>65</v>
      </c>
      <c r="G1037" t="s">
        <v>39</v>
      </c>
      <c r="H1037" s="8" t="s">
        <v>40</v>
      </c>
      <c r="I1037" s="9">
        <v>38078.43</v>
      </c>
      <c r="J1037" s="9">
        <v>10868.12</v>
      </c>
      <c r="K1037" s="8" t="s">
        <v>28</v>
      </c>
      <c r="L1037" s="10">
        <v>87816.71</v>
      </c>
      <c r="M1037" s="8" t="s">
        <v>29</v>
      </c>
      <c r="N1037" s="9">
        <v>42393.11</v>
      </c>
      <c r="O1037" s="8" t="s">
        <v>30</v>
      </c>
      <c r="P1037" t="str">
        <f>TEXT(Table1[[#This Row],[Transaction_Date]],"mmm")</f>
        <v>Aug</v>
      </c>
      <c r="Q1037" s="11">
        <v>45889</v>
      </c>
      <c r="R1037" s="8" t="s">
        <v>2378</v>
      </c>
      <c r="S1037" s="8" t="s">
        <v>32</v>
      </c>
      <c r="T1037" s="9">
        <v>5336.01</v>
      </c>
      <c r="U1037" t="s">
        <v>33</v>
      </c>
      <c r="V1037" s="8" t="s">
        <v>62</v>
      </c>
      <c r="W1037"/>
      <c r="X1037"/>
    </row>
    <row r="1038" spans="1:24" x14ac:dyDescent="0.3">
      <c r="A1038" t="s">
        <v>2379</v>
      </c>
      <c r="B1038" t="s">
        <v>607</v>
      </c>
      <c r="C1038">
        <v>22</v>
      </c>
      <c r="D1038" t="s">
        <v>37</v>
      </c>
      <c r="E1038" t="s">
        <v>38</v>
      </c>
      <c r="F1038" t="s">
        <v>37</v>
      </c>
      <c r="G1038" t="s">
        <v>39</v>
      </c>
      <c r="H1038" s="8" t="s">
        <v>67</v>
      </c>
      <c r="I1038" s="9">
        <v>64638.09</v>
      </c>
      <c r="J1038" s="9">
        <v>52186.94</v>
      </c>
      <c r="K1038" s="8" t="s">
        <v>28</v>
      </c>
      <c r="L1038" s="10">
        <v>29550.31</v>
      </c>
      <c r="M1038" s="8" t="s">
        <v>42</v>
      </c>
      <c r="N1038" s="9">
        <v>0</v>
      </c>
      <c r="O1038" s="8" t="s">
        <v>30</v>
      </c>
      <c r="P1038" t="str">
        <f>TEXT(Table1[[#This Row],[Transaction_Date]],"mmm")</f>
        <v>Jan</v>
      </c>
      <c r="Q1038" s="11">
        <v>45671</v>
      </c>
      <c r="R1038" s="8" t="s">
        <v>2380</v>
      </c>
      <c r="S1038" s="8" t="s">
        <v>32</v>
      </c>
      <c r="T1038" s="9">
        <v>357.1</v>
      </c>
      <c r="U1038" t="s">
        <v>106</v>
      </c>
      <c r="V1038" s="8" t="s">
        <v>62</v>
      </c>
      <c r="W1038"/>
      <c r="X1038"/>
    </row>
    <row r="1039" spans="1:24" hidden="1" x14ac:dyDescent="0.3">
      <c r="A1039" t="s">
        <v>2381</v>
      </c>
      <c r="B1039" t="s">
        <v>1423</v>
      </c>
      <c r="C1039">
        <v>25</v>
      </c>
      <c r="D1039" t="s">
        <v>97</v>
      </c>
      <c r="E1039" t="s">
        <v>98</v>
      </c>
      <c r="F1039" t="s">
        <v>97</v>
      </c>
      <c r="G1039" t="s">
        <v>80</v>
      </c>
      <c r="H1039" s="8" t="s">
        <v>27</v>
      </c>
      <c r="I1039" s="9">
        <v>65320.31</v>
      </c>
      <c r="J1039" s="9">
        <v>12900.24</v>
      </c>
      <c r="K1039" s="8" t="s">
        <v>52</v>
      </c>
      <c r="L1039" s="10">
        <v>38525.51</v>
      </c>
      <c r="M1039" s="8" t="s">
        <v>29</v>
      </c>
      <c r="N1039" s="9">
        <v>30181.89</v>
      </c>
      <c r="O1039" s="8" t="s">
        <v>30</v>
      </c>
      <c r="P1039" t="str">
        <f>TEXT(Table1[[#This Row],[Transaction_Date]],"mmm")</f>
        <v>Mar</v>
      </c>
      <c r="Q1039" s="11">
        <v>45725</v>
      </c>
      <c r="R1039" s="8" t="s">
        <v>2382</v>
      </c>
      <c r="S1039" s="8" t="s">
        <v>70</v>
      </c>
      <c r="T1039" s="9">
        <v>2588.64</v>
      </c>
      <c r="U1039" t="s">
        <v>33</v>
      </c>
      <c r="V1039" s="8" t="s">
        <v>62</v>
      </c>
      <c r="W1039"/>
      <c r="X1039"/>
    </row>
    <row r="1040" spans="1:24" x14ac:dyDescent="0.3">
      <c r="A1040" t="s">
        <v>2383</v>
      </c>
      <c r="B1040" t="s">
        <v>379</v>
      </c>
      <c r="C1040">
        <v>36</v>
      </c>
      <c r="D1040" t="s">
        <v>97</v>
      </c>
      <c r="E1040" t="s">
        <v>98</v>
      </c>
      <c r="F1040" t="s">
        <v>97</v>
      </c>
      <c r="G1040" t="s">
        <v>39</v>
      </c>
      <c r="H1040" s="8" t="s">
        <v>67</v>
      </c>
      <c r="I1040" s="9">
        <v>12000</v>
      </c>
      <c r="J1040" s="9">
        <v>66814.3</v>
      </c>
      <c r="K1040" s="8" t="s">
        <v>52</v>
      </c>
      <c r="L1040" s="10">
        <v>30250.44</v>
      </c>
      <c r="M1040" s="8" t="s">
        <v>29</v>
      </c>
      <c r="N1040" s="9">
        <v>24738.73</v>
      </c>
      <c r="O1040" s="8" t="s">
        <v>30</v>
      </c>
      <c r="P1040" t="str">
        <f>TEXT(Table1[[#This Row],[Transaction_Date]],"mmm")</f>
        <v>Aug</v>
      </c>
      <c r="Q1040" s="11">
        <v>45896</v>
      </c>
      <c r="R1040" s="8" t="s">
        <v>2384</v>
      </c>
      <c r="S1040" s="8" t="s">
        <v>70</v>
      </c>
      <c r="T1040" s="9">
        <v>25292.98</v>
      </c>
      <c r="U1040" t="s">
        <v>106</v>
      </c>
      <c r="V1040" s="8" t="s">
        <v>62</v>
      </c>
      <c r="W1040"/>
      <c r="X1040"/>
    </row>
    <row r="1041" spans="1:24" x14ac:dyDescent="0.3">
      <c r="A1041" t="s">
        <v>2385</v>
      </c>
      <c r="B1041" t="s">
        <v>191</v>
      </c>
      <c r="C1041">
        <v>18</v>
      </c>
      <c r="D1041" t="s">
        <v>57</v>
      </c>
      <c r="E1041" t="s">
        <v>58</v>
      </c>
      <c r="F1041" t="s">
        <v>57</v>
      </c>
      <c r="G1041" t="s">
        <v>39</v>
      </c>
      <c r="H1041" s="8" t="s">
        <v>67</v>
      </c>
      <c r="I1041" s="9">
        <v>41841.26</v>
      </c>
      <c r="J1041" s="9">
        <v>9899.4699999999993</v>
      </c>
      <c r="K1041" s="8" t="s">
        <v>74</v>
      </c>
      <c r="L1041" s="10">
        <v>0</v>
      </c>
      <c r="M1041" s="8" t="s">
        <v>75</v>
      </c>
      <c r="N1041" s="9">
        <v>0</v>
      </c>
      <c r="O1041" s="8" t="s">
        <v>30</v>
      </c>
      <c r="P1041" t="str">
        <f>TEXT(Table1[[#This Row],[Transaction_Date]],"mmm")</f>
        <v>Sep</v>
      </c>
      <c r="Q1041" s="11">
        <v>45921</v>
      </c>
      <c r="R1041" s="8" t="s">
        <v>2386</v>
      </c>
      <c r="S1041" s="8" t="s">
        <v>44</v>
      </c>
      <c r="T1041" s="9">
        <v>1688.5</v>
      </c>
      <c r="U1041" t="s">
        <v>45</v>
      </c>
      <c r="V1041" s="8" t="s">
        <v>62</v>
      </c>
      <c r="W1041"/>
      <c r="X1041"/>
    </row>
    <row r="1042" spans="1:24" hidden="1" x14ac:dyDescent="0.3">
      <c r="A1042" t="s">
        <v>2387</v>
      </c>
      <c r="B1042" t="s">
        <v>36</v>
      </c>
      <c r="C1042">
        <v>50</v>
      </c>
      <c r="D1042" t="s">
        <v>84</v>
      </c>
      <c r="E1042" t="s">
        <v>85</v>
      </c>
      <c r="F1042" t="s">
        <v>84</v>
      </c>
      <c r="G1042" t="s">
        <v>51</v>
      </c>
      <c r="H1042" s="8" t="s">
        <v>51</v>
      </c>
      <c r="I1042" s="9">
        <v>43292.88</v>
      </c>
      <c r="J1042" s="9">
        <v>27622.06</v>
      </c>
      <c r="K1042" s="8" t="s">
        <v>74</v>
      </c>
      <c r="L1042" s="10">
        <v>0</v>
      </c>
      <c r="M1042" s="8" t="s">
        <v>75</v>
      </c>
      <c r="N1042" s="9">
        <v>0</v>
      </c>
      <c r="O1042" s="8" t="s">
        <v>30</v>
      </c>
      <c r="P1042" t="str">
        <f>TEXT(Table1[[#This Row],[Transaction_Date]],"mmm")</f>
        <v>May</v>
      </c>
      <c r="Q1042" s="11">
        <v>45782</v>
      </c>
      <c r="R1042" s="8" t="s">
        <v>2388</v>
      </c>
      <c r="S1042" s="8" t="s">
        <v>32</v>
      </c>
      <c r="T1042" s="9">
        <v>1157.57</v>
      </c>
      <c r="U1042" t="s">
        <v>33</v>
      </c>
      <c r="V1042" s="8" t="s">
        <v>46</v>
      </c>
      <c r="W1042"/>
      <c r="X1042"/>
    </row>
    <row r="1043" spans="1:24" x14ac:dyDescent="0.3">
      <c r="A1043" t="s">
        <v>2389</v>
      </c>
      <c r="B1043" t="s">
        <v>472</v>
      </c>
      <c r="C1043">
        <v>33</v>
      </c>
      <c r="D1043" t="s">
        <v>57</v>
      </c>
      <c r="E1043" t="s">
        <v>58</v>
      </c>
      <c r="F1043" t="s">
        <v>57</v>
      </c>
      <c r="G1043" t="s">
        <v>39</v>
      </c>
      <c r="H1043" s="8" t="s">
        <v>40</v>
      </c>
      <c r="I1043" s="9">
        <v>53082.74</v>
      </c>
      <c r="J1043" s="9">
        <v>2627.09</v>
      </c>
      <c r="K1043" s="8" t="s">
        <v>68</v>
      </c>
      <c r="L1043" s="10">
        <v>140881.16</v>
      </c>
      <c r="M1043" s="8" t="s">
        <v>29</v>
      </c>
      <c r="N1043" s="9">
        <v>103899.41</v>
      </c>
      <c r="O1043" s="8" t="s">
        <v>228</v>
      </c>
      <c r="P1043" t="str">
        <f>TEXT(Table1[[#This Row],[Transaction_Date]],"mmm")</f>
        <v>Dec</v>
      </c>
      <c r="Q1043" s="11">
        <v>46000</v>
      </c>
      <c r="R1043" s="8" t="s">
        <v>2390</v>
      </c>
      <c r="S1043" s="8" t="s">
        <v>70</v>
      </c>
      <c r="T1043" s="9">
        <v>762.14</v>
      </c>
      <c r="U1043" t="s">
        <v>77</v>
      </c>
      <c r="V1043" s="8" t="s">
        <v>62</v>
      </c>
      <c r="W1043"/>
      <c r="X1043"/>
    </row>
    <row r="1044" spans="1:24" x14ac:dyDescent="0.3">
      <c r="A1044" t="s">
        <v>2391</v>
      </c>
      <c r="B1044" t="s">
        <v>64</v>
      </c>
      <c r="C1044">
        <v>30</v>
      </c>
      <c r="D1044" t="s">
        <v>37</v>
      </c>
      <c r="E1044" t="s">
        <v>38</v>
      </c>
      <c r="F1044" t="s">
        <v>37</v>
      </c>
      <c r="G1044" t="s">
        <v>39</v>
      </c>
      <c r="H1044" s="8" t="s">
        <v>67</v>
      </c>
      <c r="I1044" s="9">
        <v>24169.54</v>
      </c>
      <c r="J1044" s="9">
        <v>24797.9</v>
      </c>
      <c r="K1044" s="8" t="s">
        <v>28</v>
      </c>
      <c r="L1044" s="10">
        <v>82219.210000000006</v>
      </c>
      <c r="M1044" s="8" t="s">
        <v>29</v>
      </c>
      <c r="N1044" s="9">
        <v>67418.710000000006</v>
      </c>
      <c r="O1044" s="8" t="s">
        <v>30</v>
      </c>
      <c r="P1044" t="str">
        <f>TEXT(Table1[[#This Row],[Transaction_Date]],"mmm")</f>
        <v>Sep</v>
      </c>
      <c r="Q1044" s="11">
        <v>45909</v>
      </c>
      <c r="R1044" s="8" t="s">
        <v>2392</v>
      </c>
      <c r="S1044" s="8" t="s">
        <v>54</v>
      </c>
      <c r="T1044" s="9">
        <v>3844.67</v>
      </c>
      <c r="U1044" t="s">
        <v>33</v>
      </c>
      <c r="V1044" s="8" t="s">
        <v>62</v>
      </c>
      <c r="W1044"/>
      <c r="X1044"/>
    </row>
    <row r="1045" spans="1:24" x14ac:dyDescent="0.3">
      <c r="A1045" t="s">
        <v>2393</v>
      </c>
      <c r="B1045" t="s">
        <v>790</v>
      </c>
      <c r="C1045">
        <v>46</v>
      </c>
      <c r="D1045" t="s">
        <v>65</v>
      </c>
      <c r="E1045" t="s">
        <v>66</v>
      </c>
      <c r="F1045" t="s">
        <v>65</v>
      </c>
      <c r="G1045" t="s">
        <v>39</v>
      </c>
      <c r="H1045" s="8" t="s">
        <v>51</v>
      </c>
      <c r="I1045" s="9">
        <v>57722.17</v>
      </c>
      <c r="J1045" s="9">
        <v>23724.31</v>
      </c>
      <c r="K1045" s="8" t="s">
        <v>74</v>
      </c>
      <c r="L1045" s="10">
        <v>0</v>
      </c>
      <c r="M1045" s="8" t="s">
        <v>75</v>
      </c>
      <c r="N1045" s="9">
        <v>0</v>
      </c>
      <c r="O1045" s="8" t="s">
        <v>30</v>
      </c>
      <c r="P1045" t="str">
        <f>TEXT(Table1[[#This Row],[Transaction_Date]],"mmm")</f>
        <v>Jan</v>
      </c>
      <c r="Q1045" s="11">
        <v>45672</v>
      </c>
      <c r="R1045" s="8" t="s">
        <v>2394</v>
      </c>
      <c r="S1045" s="8" t="s">
        <v>70</v>
      </c>
      <c r="T1045" s="9">
        <v>2373.4899999999998</v>
      </c>
      <c r="U1045" t="s">
        <v>61</v>
      </c>
      <c r="V1045" s="8" t="s">
        <v>62</v>
      </c>
      <c r="W1045"/>
      <c r="X1045"/>
    </row>
    <row r="1046" spans="1:24" hidden="1" x14ac:dyDescent="0.3">
      <c r="A1046" t="s">
        <v>2395</v>
      </c>
      <c r="B1046" t="s">
        <v>254</v>
      </c>
      <c r="C1046">
        <v>39</v>
      </c>
      <c r="D1046" t="s">
        <v>84</v>
      </c>
      <c r="E1046" t="s">
        <v>85</v>
      </c>
      <c r="F1046" t="s">
        <v>84</v>
      </c>
      <c r="G1046" t="s">
        <v>51</v>
      </c>
      <c r="H1046" s="8" t="s">
        <v>40</v>
      </c>
      <c r="I1046" s="9">
        <v>36967.5</v>
      </c>
      <c r="J1046" s="9">
        <v>59976.04</v>
      </c>
      <c r="K1046" s="8" t="s">
        <v>68</v>
      </c>
      <c r="L1046" s="10">
        <v>129972.43</v>
      </c>
      <c r="M1046" s="8" t="s">
        <v>29</v>
      </c>
      <c r="N1046" s="9">
        <v>90177.36</v>
      </c>
      <c r="O1046" s="8" t="s">
        <v>30</v>
      </c>
      <c r="P1046" t="str">
        <f>TEXT(Table1[[#This Row],[Transaction_Date]],"mmm")</f>
        <v>Nov</v>
      </c>
      <c r="Q1046" s="11">
        <v>45971</v>
      </c>
      <c r="R1046" s="8" t="s">
        <v>2396</v>
      </c>
      <c r="S1046" s="8" t="s">
        <v>32</v>
      </c>
      <c r="T1046" s="9">
        <v>495.68</v>
      </c>
      <c r="U1046" t="s">
        <v>61</v>
      </c>
      <c r="V1046" s="8" t="s">
        <v>62</v>
      </c>
      <c r="W1046"/>
      <c r="X1046"/>
    </row>
    <row r="1047" spans="1:24" hidden="1" x14ac:dyDescent="0.3">
      <c r="A1047" t="s">
        <v>2397</v>
      </c>
      <c r="B1047" t="s">
        <v>152</v>
      </c>
      <c r="C1047">
        <v>32</v>
      </c>
      <c r="D1047" t="s">
        <v>24</v>
      </c>
      <c r="E1047" t="s">
        <v>25</v>
      </c>
      <c r="F1047" t="s">
        <v>24</v>
      </c>
      <c r="G1047" t="s">
        <v>51</v>
      </c>
      <c r="H1047" s="8" t="s">
        <v>51</v>
      </c>
      <c r="I1047" s="9">
        <v>44333.52</v>
      </c>
      <c r="J1047" s="9">
        <v>55830.83</v>
      </c>
      <c r="K1047" s="8" t="s">
        <v>74</v>
      </c>
      <c r="L1047" s="10">
        <v>0</v>
      </c>
      <c r="M1047" s="8" t="s">
        <v>75</v>
      </c>
      <c r="N1047" s="9">
        <v>0</v>
      </c>
      <c r="O1047" s="8" t="s">
        <v>30</v>
      </c>
      <c r="P1047" t="str">
        <f>TEXT(Table1[[#This Row],[Transaction_Date]],"mmm")</f>
        <v>Jul</v>
      </c>
      <c r="Q1047" s="11">
        <v>45860</v>
      </c>
      <c r="R1047" s="8" t="s">
        <v>2398</v>
      </c>
      <c r="S1047" s="8" t="s">
        <v>32</v>
      </c>
      <c r="T1047" s="9">
        <v>1200.6400000000001</v>
      </c>
      <c r="U1047" t="s">
        <v>71</v>
      </c>
      <c r="V1047" s="8" t="s">
        <v>62</v>
      </c>
      <c r="W1047"/>
      <c r="X1047"/>
    </row>
    <row r="1048" spans="1:24" hidden="1" x14ac:dyDescent="0.3">
      <c r="A1048" t="s">
        <v>2399</v>
      </c>
      <c r="B1048" t="s">
        <v>1260</v>
      </c>
      <c r="C1048">
        <v>36</v>
      </c>
      <c r="D1048" t="s">
        <v>84</v>
      </c>
      <c r="E1048" t="s">
        <v>85</v>
      </c>
      <c r="F1048" t="s">
        <v>84</v>
      </c>
      <c r="G1048" t="s">
        <v>26</v>
      </c>
      <c r="H1048" s="8" t="s">
        <v>40</v>
      </c>
      <c r="I1048" s="9">
        <v>69441.31</v>
      </c>
      <c r="J1048" s="9">
        <v>72971.42</v>
      </c>
      <c r="K1048" s="8" t="s">
        <v>74</v>
      </c>
      <c r="L1048" s="10">
        <v>0</v>
      </c>
      <c r="M1048" s="8" t="s">
        <v>75</v>
      </c>
      <c r="N1048" s="9">
        <v>0</v>
      </c>
      <c r="O1048" s="8" t="s">
        <v>30</v>
      </c>
      <c r="P1048" t="str">
        <f>TEXT(Table1[[#This Row],[Transaction_Date]],"mmm")</f>
        <v>Feb</v>
      </c>
      <c r="Q1048" s="11">
        <v>45691</v>
      </c>
      <c r="R1048" s="8" t="s">
        <v>2400</v>
      </c>
      <c r="S1048" s="8" t="s">
        <v>54</v>
      </c>
      <c r="T1048" s="9">
        <v>10620.74</v>
      </c>
      <c r="U1048" t="s">
        <v>71</v>
      </c>
      <c r="V1048" s="8" t="s">
        <v>46</v>
      </c>
      <c r="W1048"/>
      <c r="X1048"/>
    </row>
    <row r="1049" spans="1:24" x14ac:dyDescent="0.3">
      <c r="A1049" t="s">
        <v>2401</v>
      </c>
      <c r="B1049" t="s">
        <v>527</v>
      </c>
      <c r="C1049">
        <v>47</v>
      </c>
      <c r="D1049" t="s">
        <v>57</v>
      </c>
      <c r="E1049" t="s">
        <v>58</v>
      </c>
      <c r="F1049" t="s">
        <v>57</v>
      </c>
      <c r="G1049" t="s">
        <v>39</v>
      </c>
      <c r="H1049" s="8" t="s">
        <v>51</v>
      </c>
      <c r="I1049" s="9">
        <v>20389.32</v>
      </c>
      <c r="J1049" s="9">
        <v>9247.49</v>
      </c>
      <c r="K1049" s="8" t="s">
        <v>41</v>
      </c>
      <c r="L1049" s="10">
        <v>25846.65</v>
      </c>
      <c r="M1049" s="8" t="s">
        <v>29</v>
      </c>
      <c r="N1049" s="9">
        <v>16627.060000000001</v>
      </c>
      <c r="O1049" s="8" t="s">
        <v>30</v>
      </c>
      <c r="P1049" t="str">
        <f>TEXT(Table1[[#This Row],[Transaction_Date]],"mmm")</f>
        <v>Oct</v>
      </c>
      <c r="Q1049" s="11">
        <v>45961</v>
      </c>
      <c r="R1049" s="8" t="s">
        <v>2402</v>
      </c>
      <c r="S1049" s="8" t="s">
        <v>70</v>
      </c>
      <c r="T1049" s="9">
        <v>11973.56</v>
      </c>
      <c r="U1049" t="s">
        <v>106</v>
      </c>
      <c r="V1049" s="8" t="s">
        <v>62</v>
      </c>
      <c r="W1049"/>
      <c r="X1049"/>
    </row>
    <row r="1050" spans="1:24" x14ac:dyDescent="0.3">
      <c r="A1050" t="s">
        <v>2403</v>
      </c>
      <c r="B1050" t="s">
        <v>149</v>
      </c>
      <c r="C1050">
        <v>34</v>
      </c>
      <c r="D1050" t="s">
        <v>65</v>
      </c>
      <c r="E1050" t="s">
        <v>66</v>
      </c>
      <c r="F1050" t="s">
        <v>65</v>
      </c>
      <c r="G1050" t="s">
        <v>39</v>
      </c>
      <c r="H1050" s="8" t="s">
        <v>40</v>
      </c>
      <c r="I1050" s="9">
        <v>42117.54</v>
      </c>
      <c r="J1050" s="9">
        <v>24235.51</v>
      </c>
      <c r="K1050" s="8" t="s">
        <v>68</v>
      </c>
      <c r="L1050" s="10">
        <v>39061</v>
      </c>
      <c r="M1050" s="8" t="s">
        <v>29</v>
      </c>
      <c r="N1050" s="9">
        <v>36605.19</v>
      </c>
      <c r="O1050" s="8" t="s">
        <v>30</v>
      </c>
      <c r="P1050" t="str">
        <f>TEXT(Table1[[#This Row],[Transaction_Date]],"mmm")</f>
        <v>Nov</v>
      </c>
      <c r="Q1050" s="11">
        <v>45983</v>
      </c>
      <c r="R1050" s="8" t="s">
        <v>2404</v>
      </c>
      <c r="S1050" s="8" t="s">
        <v>54</v>
      </c>
      <c r="T1050" s="9">
        <v>7223.24</v>
      </c>
      <c r="U1050" t="s">
        <v>106</v>
      </c>
      <c r="V1050" s="8" t="s">
        <v>62</v>
      </c>
      <c r="W1050"/>
      <c r="X1050"/>
    </row>
    <row r="1051" spans="1:24" hidden="1" x14ac:dyDescent="0.3">
      <c r="A1051" t="s">
        <v>2405</v>
      </c>
      <c r="B1051" t="s">
        <v>580</v>
      </c>
      <c r="C1051">
        <v>43</v>
      </c>
      <c r="D1051" t="s">
        <v>84</v>
      </c>
      <c r="E1051" t="s">
        <v>85</v>
      </c>
      <c r="F1051" t="s">
        <v>84</v>
      </c>
      <c r="G1051" t="s">
        <v>51</v>
      </c>
      <c r="H1051" s="8" t="s">
        <v>27</v>
      </c>
      <c r="I1051" s="9">
        <v>69431.62</v>
      </c>
      <c r="J1051" s="9">
        <v>9853.52</v>
      </c>
      <c r="K1051" s="8" t="s">
        <v>41</v>
      </c>
      <c r="L1051" s="10">
        <v>46630.68</v>
      </c>
      <c r="M1051" s="8" t="s">
        <v>29</v>
      </c>
      <c r="N1051" s="9">
        <v>22255.75</v>
      </c>
      <c r="O1051" s="8" t="s">
        <v>30</v>
      </c>
      <c r="P1051" t="str">
        <f>TEXT(Table1[[#This Row],[Transaction_Date]],"mmm")</f>
        <v>Nov</v>
      </c>
      <c r="Q1051" s="11">
        <v>45978</v>
      </c>
      <c r="R1051" s="8" t="s">
        <v>2406</v>
      </c>
      <c r="S1051" s="8" t="s">
        <v>70</v>
      </c>
      <c r="T1051" s="9">
        <v>559.9</v>
      </c>
      <c r="U1051" t="s">
        <v>33</v>
      </c>
      <c r="V1051" s="8" t="s">
        <v>46</v>
      </c>
      <c r="W1051"/>
      <c r="X1051"/>
    </row>
    <row r="1052" spans="1:24" hidden="1" x14ac:dyDescent="0.3">
      <c r="A1052" t="s">
        <v>2407</v>
      </c>
      <c r="B1052" t="s">
        <v>1276</v>
      </c>
      <c r="C1052">
        <v>27</v>
      </c>
      <c r="D1052" t="s">
        <v>24</v>
      </c>
      <c r="E1052" t="s">
        <v>25</v>
      </c>
      <c r="F1052" t="s">
        <v>24</v>
      </c>
      <c r="G1052" t="s">
        <v>26</v>
      </c>
      <c r="H1052" s="8" t="s">
        <v>40</v>
      </c>
      <c r="I1052" s="9">
        <v>101191.62</v>
      </c>
      <c r="J1052" s="9">
        <v>26027.4</v>
      </c>
      <c r="K1052" s="8" t="s">
        <v>28</v>
      </c>
      <c r="L1052" s="10">
        <v>53063.51</v>
      </c>
      <c r="M1052" s="8" t="s">
        <v>29</v>
      </c>
      <c r="N1052" s="9">
        <v>47069.27</v>
      </c>
      <c r="O1052" s="8" t="s">
        <v>30</v>
      </c>
      <c r="P1052" t="str">
        <f>TEXT(Table1[[#This Row],[Transaction_Date]],"mmm")</f>
        <v>Apr</v>
      </c>
      <c r="Q1052" s="11">
        <v>45763</v>
      </c>
      <c r="R1052" s="8" t="s">
        <v>2408</v>
      </c>
      <c r="S1052" s="8" t="s">
        <v>44</v>
      </c>
      <c r="T1052" s="9">
        <v>6952.68</v>
      </c>
      <c r="U1052" t="s">
        <v>71</v>
      </c>
      <c r="V1052" s="8" t="s">
        <v>62</v>
      </c>
      <c r="W1052"/>
      <c r="X1052"/>
    </row>
    <row r="1053" spans="1:24" hidden="1" x14ac:dyDescent="0.3">
      <c r="A1053" t="s">
        <v>2409</v>
      </c>
      <c r="B1053" t="s">
        <v>104</v>
      </c>
      <c r="C1053">
        <v>36</v>
      </c>
      <c r="D1053" t="s">
        <v>65</v>
      </c>
      <c r="E1053" t="s">
        <v>66</v>
      </c>
      <c r="F1053" t="s">
        <v>65</v>
      </c>
      <c r="G1053" t="s">
        <v>51</v>
      </c>
      <c r="H1053" s="8" t="s">
        <v>27</v>
      </c>
      <c r="I1053" s="9">
        <v>45362.400000000001</v>
      </c>
      <c r="J1053" s="9">
        <v>19105.349999999999</v>
      </c>
      <c r="K1053" s="8" t="s">
        <v>74</v>
      </c>
      <c r="L1053" s="10">
        <v>0</v>
      </c>
      <c r="M1053" s="8" t="s">
        <v>75</v>
      </c>
      <c r="N1053" s="9">
        <v>0</v>
      </c>
      <c r="O1053" s="8" t="s">
        <v>30</v>
      </c>
      <c r="P1053" t="str">
        <f>TEXT(Table1[[#This Row],[Transaction_Date]],"mmm")</f>
        <v>Feb</v>
      </c>
      <c r="Q1053" s="11">
        <v>45709</v>
      </c>
      <c r="R1053" s="8" t="s">
        <v>2410</v>
      </c>
      <c r="S1053" s="8" t="s">
        <v>54</v>
      </c>
      <c r="T1053" s="9">
        <v>857.72</v>
      </c>
      <c r="U1053" t="s">
        <v>45</v>
      </c>
      <c r="V1053" s="8" t="s">
        <v>62</v>
      </c>
      <c r="W1053"/>
      <c r="X1053"/>
    </row>
    <row r="1054" spans="1:24" hidden="1" x14ac:dyDescent="0.3">
      <c r="A1054" t="s">
        <v>2411</v>
      </c>
      <c r="B1054" t="s">
        <v>556</v>
      </c>
      <c r="C1054">
        <v>34</v>
      </c>
      <c r="D1054" t="s">
        <v>92</v>
      </c>
      <c r="E1054" t="s">
        <v>93</v>
      </c>
      <c r="F1054" t="s">
        <v>92</v>
      </c>
      <c r="G1054" t="s">
        <v>51</v>
      </c>
      <c r="H1054" s="8" t="s">
        <v>27</v>
      </c>
      <c r="I1054" s="9">
        <v>58638.46</v>
      </c>
      <c r="J1054" s="9">
        <v>22998.18</v>
      </c>
      <c r="K1054" s="8" t="s">
        <v>74</v>
      </c>
      <c r="L1054" s="10">
        <v>0</v>
      </c>
      <c r="M1054" s="8" t="s">
        <v>75</v>
      </c>
      <c r="N1054" s="9">
        <v>0</v>
      </c>
      <c r="O1054" s="8" t="s">
        <v>30</v>
      </c>
      <c r="P1054" t="str">
        <f>TEXT(Table1[[#This Row],[Transaction_Date]],"mmm")</f>
        <v>Nov</v>
      </c>
      <c r="Q1054" s="11">
        <v>45982</v>
      </c>
      <c r="R1054" s="8" t="s">
        <v>2412</v>
      </c>
      <c r="S1054" s="8" t="s">
        <v>70</v>
      </c>
      <c r="T1054" s="9">
        <v>1470.35</v>
      </c>
      <c r="U1054" t="s">
        <v>33</v>
      </c>
      <c r="V1054" s="8" t="s">
        <v>62</v>
      </c>
      <c r="W1054"/>
      <c r="X1054"/>
    </row>
    <row r="1055" spans="1:24" x14ac:dyDescent="0.3">
      <c r="A1055" t="s">
        <v>2413</v>
      </c>
      <c r="B1055" t="s">
        <v>1182</v>
      </c>
      <c r="C1055">
        <v>39</v>
      </c>
      <c r="D1055" t="s">
        <v>24</v>
      </c>
      <c r="E1055" t="s">
        <v>25</v>
      </c>
      <c r="F1055" t="s">
        <v>24</v>
      </c>
      <c r="G1055" t="s">
        <v>39</v>
      </c>
      <c r="H1055" s="8" t="s">
        <v>40</v>
      </c>
      <c r="I1055" s="9">
        <v>53083.46</v>
      </c>
      <c r="J1055" s="9">
        <v>19776.52</v>
      </c>
      <c r="K1055" s="8" t="s">
        <v>59</v>
      </c>
      <c r="L1055" s="10">
        <v>148505.46</v>
      </c>
      <c r="M1055" s="8" t="s">
        <v>29</v>
      </c>
      <c r="N1055" s="9">
        <v>43381.4</v>
      </c>
      <c r="O1055" s="8" t="s">
        <v>228</v>
      </c>
      <c r="P1055" t="str">
        <f>TEXT(Table1[[#This Row],[Transaction_Date]],"mmm")</f>
        <v>Dec</v>
      </c>
      <c r="Q1055" s="11">
        <v>46007</v>
      </c>
      <c r="R1055" s="8" t="s">
        <v>2414</v>
      </c>
      <c r="S1055" s="8" t="s">
        <v>32</v>
      </c>
      <c r="T1055" s="9">
        <v>8022.44</v>
      </c>
      <c r="U1055" t="s">
        <v>45</v>
      </c>
      <c r="V1055" s="8" t="s">
        <v>62</v>
      </c>
      <c r="W1055"/>
      <c r="X1055"/>
    </row>
    <row r="1056" spans="1:24" x14ac:dyDescent="0.3">
      <c r="A1056" t="s">
        <v>2415</v>
      </c>
      <c r="B1056" t="s">
        <v>218</v>
      </c>
      <c r="C1056">
        <v>42</v>
      </c>
      <c r="D1056" t="s">
        <v>97</v>
      </c>
      <c r="E1056" t="s">
        <v>98</v>
      </c>
      <c r="F1056" t="s">
        <v>97</v>
      </c>
      <c r="G1056" t="s">
        <v>39</v>
      </c>
      <c r="H1056" s="8" t="s">
        <v>40</v>
      </c>
      <c r="I1056" s="9">
        <v>41293.89</v>
      </c>
      <c r="J1056" s="9">
        <v>16930.240000000002</v>
      </c>
      <c r="K1056" s="8" t="s">
        <v>41</v>
      </c>
      <c r="L1056" s="10">
        <v>109918.1</v>
      </c>
      <c r="M1056" s="8" t="s">
        <v>29</v>
      </c>
      <c r="N1056" s="9">
        <v>63679.67</v>
      </c>
      <c r="O1056" s="8" t="s">
        <v>30</v>
      </c>
      <c r="P1056" t="str">
        <f>TEXT(Table1[[#This Row],[Transaction_Date]],"mmm")</f>
        <v>Oct</v>
      </c>
      <c r="Q1056" s="11">
        <v>45952</v>
      </c>
      <c r="R1056" s="8" t="s">
        <v>2416</v>
      </c>
      <c r="S1056" s="8" t="s">
        <v>70</v>
      </c>
      <c r="T1056" s="9">
        <v>633.21</v>
      </c>
      <c r="U1056" t="s">
        <v>77</v>
      </c>
      <c r="V1056" s="8" t="s">
        <v>62</v>
      </c>
      <c r="W1056"/>
      <c r="X1056"/>
    </row>
    <row r="1057" spans="1:24" x14ac:dyDescent="0.3">
      <c r="A1057" t="s">
        <v>2417</v>
      </c>
      <c r="B1057" t="s">
        <v>527</v>
      </c>
      <c r="C1057">
        <v>28</v>
      </c>
      <c r="D1057" t="s">
        <v>84</v>
      </c>
      <c r="E1057" t="s">
        <v>85</v>
      </c>
      <c r="F1057" t="s">
        <v>84</v>
      </c>
      <c r="G1057" t="s">
        <v>39</v>
      </c>
      <c r="H1057" s="8" t="s">
        <v>67</v>
      </c>
      <c r="I1057" s="9">
        <v>68590.06</v>
      </c>
      <c r="J1057" s="9">
        <v>21427.68</v>
      </c>
      <c r="K1057" s="8" t="s">
        <v>41</v>
      </c>
      <c r="L1057" s="10">
        <v>25000</v>
      </c>
      <c r="M1057" s="8" t="s">
        <v>29</v>
      </c>
      <c r="N1057" s="9">
        <v>18414.71</v>
      </c>
      <c r="O1057" s="8" t="s">
        <v>30</v>
      </c>
      <c r="P1057" t="str">
        <f>TEXT(Table1[[#This Row],[Transaction_Date]],"mmm")</f>
        <v>Aug</v>
      </c>
      <c r="Q1057" s="11">
        <v>45877</v>
      </c>
      <c r="R1057" s="8" t="s">
        <v>2418</v>
      </c>
      <c r="S1057" s="8" t="s">
        <v>70</v>
      </c>
      <c r="T1057" s="9">
        <v>6061.78</v>
      </c>
      <c r="U1057" t="s">
        <v>106</v>
      </c>
      <c r="V1057" s="8" t="s">
        <v>46</v>
      </c>
      <c r="W1057"/>
      <c r="X1057"/>
    </row>
    <row r="1058" spans="1:24" x14ac:dyDescent="0.3">
      <c r="A1058" t="s">
        <v>2419</v>
      </c>
      <c r="B1058" t="s">
        <v>221</v>
      </c>
      <c r="C1058">
        <v>38</v>
      </c>
      <c r="D1058" t="s">
        <v>92</v>
      </c>
      <c r="E1058" t="s">
        <v>93</v>
      </c>
      <c r="F1058" t="s">
        <v>92</v>
      </c>
      <c r="G1058" t="s">
        <v>39</v>
      </c>
      <c r="H1058" s="8" t="s">
        <v>40</v>
      </c>
      <c r="I1058" s="9">
        <v>46726.86</v>
      </c>
      <c r="J1058" s="9">
        <v>12761.23</v>
      </c>
      <c r="K1058" s="8" t="s">
        <v>74</v>
      </c>
      <c r="L1058" s="10">
        <v>0</v>
      </c>
      <c r="M1058" s="8" t="s">
        <v>75</v>
      </c>
      <c r="N1058" s="9">
        <v>0</v>
      </c>
      <c r="O1058" s="8" t="s">
        <v>30</v>
      </c>
      <c r="P1058" t="str">
        <f>TEXT(Table1[[#This Row],[Transaction_Date]],"mmm")</f>
        <v>Jul</v>
      </c>
      <c r="Q1058" s="11">
        <v>45845</v>
      </c>
      <c r="R1058" s="8" t="s">
        <v>2420</v>
      </c>
      <c r="S1058" s="8" t="s">
        <v>44</v>
      </c>
      <c r="T1058" s="9">
        <v>1697.1</v>
      </c>
      <c r="U1058" t="s">
        <v>77</v>
      </c>
      <c r="V1058" s="8" t="s">
        <v>62</v>
      </c>
      <c r="W1058"/>
      <c r="X1058"/>
    </row>
    <row r="1059" spans="1:24" hidden="1" x14ac:dyDescent="0.3">
      <c r="A1059" t="s">
        <v>2421</v>
      </c>
      <c r="B1059" t="s">
        <v>282</v>
      </c>
      <c r="C1059">
        <v>26</v>
      </c>
      <c r="D1059" t="s">
        <v>65</v>
      </c>
      <c r="E1059" t="s">
        <v>66</v>
      </c>
      <c r="F1059" t="s">
        <v>65</v>
      </c>
      <c r="G1059" t="s">
        <v>26</v>
      </c>
      <c r="H1059" s="8" t="s">
        <v>51</v>
      </c>
      <c r="I1059" s="9">
        <v>72884.31</v>
      </c>
      <c r="J1059" s="9">
        <v>12679.56</v>
      </c>
      <c r="K1059" s="8" t="s">
        <v>59</v>
      </c>
      <c r="L1059" s="10">
        <v>48461.58</v>
      </c>
      <c r="M1059" s="8" t="s">
        <v>42</v>
      </c>
      <c r="N1059" s="9">
        <v>0</v>
      </c>
      <c r="O1059" s="8" t="s">
        <v>30</v>
      </c>
      <c r="P1059" t="str">
        <f>TEXT(Table1[[#This Row],[Transaction_Date]],"mmm")</f>
        <v>Jan</v>
      </c>
      <c r="Q1059" s="11">
        <v>45662</v>
      </c>
      <c r="R1059" s="8" t="s">
        <v>2422</v>
      </c>
      <c r="S1059" s="8" t="s">
        <v>44</v>
      </c>
      <c r="T1059" s="9">
        <v>2986.82</v>
      </c>
      <c r="U1059" t="s">
        <v>45</v>
      </c>
      <c r="V1059" s="8" t="s">
        <v>46</v>
      </c>
      <c r="W1059"/>
      <c r="X1059"/>
    </row>
    <row r="1060" spans="1:24" hidden="1" x14ac:dyDescent="0.3">
      <c r="A1060" t="s">
        <v>2423</v>
      </c>
      <c r="B1060" t="s">
        <v>1466</v>
      </c>
      <c r="C1060">
        <v>47</v>
      </c>
      <c r="D1060" t="s">
        <v>24</v>
      </c>
      <c r="E1060" t="s">
        <v>25</v>
      </c>
      <c r="F1060" t="s">
        <v>24</v>
      </c>
      <c r="G1060" t="s">
        <v>80</v>
      </c>
      <c r="H1060" s="8" t="s">
        <v>27</v>
      </c>
      <c r="I1060" s="9">
        <v>36777.339999999997</v>
      </c>
      <c r="J1060" s="9">
        <v>187143.08</v>
      </c>
      <c r="K1060" s="8" t="s">
        <v>52</v>
      </c>
      <c r="L1060" s="10">
        <v>25000</v>
      </c>
      <c r="M1060" s="8" t="s">
        <v>42</v>
      </c>
      <c r="N1060" s="9">
        <v>0</v>
      </c>
      <c r="O1060" s="8" t="s">
        <v>30</v>
      </c>
      <c r="P1060" t="str">
        <f>TEXT(Table1[[#This Row],[Transaction_Date]],"mmm")</f>
        <v>Mar</v>
      </c>
      <c r="Q1060" s="11">
        <v>45725</v>
      </c>
      <c r="R1060" s="8" t="s">
        <v>2424</v>
      </c>
      <c r="S1060" s="8" t="s">
        <v>32</v>
      </c>
      <c r="T1060" s="9">
        <v>5286.18</v>
      </c>
      <c r="U1060" t="s">
        <v>106</v>
      </c>
      <c r="V1060" s="8" t="s">
        <v>62</v>
      </c>
      <c r="W1060"/>
      <c r="X1060"/>
    </row>
    <row r="1061" spans="1:24" hidden="1" x14ac:dyDescent="0.3">
      <c r="A1061" t="s">
        <v>2425</v>
      </c>
      <c r="B1061" t="s">
        <v>304</v>
      </c>
      <c r="C1061">
        <v>40</v>
      </c>
      <c r="D1061" t="s">
        <v>49</v>
      </c>
      <c r="E1061" t="s">
        <v>50</v>
      </c>
      <c r="F1061" t="s">
        <v>49</v>
      </c>
      <c r="G1061" t="s">
        <v>80</v>
      </c>
      <c r="H1061" s="8" t="s">
        <v>40</v>
      </c>
      <c r="I1061" s="9">
        <v>27918.47</v>
      </c>
      <c r="J1061" s="9">
        <v>83642.789999999994</v>
      </c>
      <c r="K1061" s="8" t="s">
        <v>28</v>
      </c>
      <c r="L1061" s="10">
        <v>60403.5</v>
      </c>
      <c r="M1061" s="8" t="s">
        <v>42</v>
      </c>
      <c r="N1061" s="9">
        <v>0</v>
      </c>
      <c r="O1061" s="8" t="s">
        <v>30</v>
      </c>
      <c r="P1061" t="str">
        <f>TEXT(Table1[[#This Row],[Transaction_Date]],"mmm")</f>
        <v>Oct</v>
      </c>
      <c r="Q1061" s="11">
        <v>45936</v>
      </c>
      <c r="R1061" s="8" t="s">
        <v>2426</v>
      </c>
      <c r="S1061" s="8" t="s">
        <v>54</v>
      </c>
      <c r="T1061" s="9">
        <v>7072.09</v>
      </c>
      <c r="U1061" t="s">
        <v>77</v>
      </c>
      <c r="V1061" s="8" t="s">
        <v>62</v>
      </c>
      <c r="W1061"/>
      <c r="X1061"/>
    </row>
    <row r="1062" spans="1:24" x14ac:dyDescent="0.3">
      <c r="A1062" t="s">
        <v>2427</v>
      </c>
      <c r="B1062" t="s">
        <v>633</v>
      </c>
      <c r="C1062">
        <v>36</v>
      </c>
      <c r="D1062" t="s">
        <v>57</v>
      </c>
      <c r="E1062" t="s">
        <v>58</v>
      </c>
      <c r="F1062" t="s">
        <v>57</v>
      </c>
      <c r="G1062" t="s">
        <v>39</v>
      </c>
      <c r="H1062" s="8" t="s">
        <v>40</v>
      </c>
      <c r="I1062" s="9">
        <v>44284.32</v>
      </c>
      <c r="J1062" s="9">
        <v>11976.1</v>
      </c>
      <c r="K1062" s="8" t="s">
        <v>28</v>
      </c>
      <c r="L1062" s="10">
        <v>25000</v>
      </c>
      <c r="M1062" s="8" t="s">
        <v>42</v>
      </c>
      <c r="N1062" s="9">
        <v>0</v>
      </c>
      <c r="O1062" s="8" t="s">
        <v>30</v>
      </c>
      <c r="P1062" t="str">
        <f>TEXT(Table1[[#This Row],[Transaction_Date]],"mmm")</f>
        <v>Apr</v>
      </c>
      <c r="Q1062" s="11">
        <v>45774</v>
      </c>
      <c r="R1062" s="8" t="s">
        <v>2428</v>
      </c>
      <c r="S1062" s="8" t="s">
        <v>44</v>
      </c>
      <c r="T1062" s="9">
        <v>1389.47</v>
      </c>
      <c r="U1062" t="s">
        <v>33</v>
      </c>
      <c r="V1062" s="8" t="s">
        <v>62</v>
      </c>
      <c r="W1062"/>
      <c r="X1062"/>
    </row>
    <row r="1063" spans="1:24" x14ac:dyDescent="0.3">
      <c r="A1063" t="s">
        <v>2429</v>
      </c>
      <c r="B1063" t="s">
        <v>176</v>
      </c>
      <c r="C1063">
        <v>22</v>
      </c>
      <c r="D1063" t="s">
        <v>84</v>
      </c>
      <c r="E1063" t="s">
        <v>85</v>
      </c>
      <c r="F1063" t="s">
        <v>84</v>
      </c>
      <c r="G1063" t="s">
        <v>39</v>
      </c>
      <c r="H1063" s="8" t="s">
        <v>40</v>
      </c>
      <c r="I1063" s="9">
        <v>22397.17</v>
      </c>
      <c r="J1063" s="9">
        <v>21585.21</v>
      </c>
      <c r="K1063" s="8" t="s">
        <v>52</v>
      </c>
      <c r="L1063" s="10">
        <v>313662.3</v>
      </c>
      <c r="M1063" s="8" t="s">
        <v>29</v>
      </c>
      <c r="N1063" s="9">
        <v>199586.87</v>
      </c>
      <c r="O1063" s="8" t="s">
        <v>30</v>
      </c>
      <c r="P1063" t="str">
        <f>TEXT(Table1[[#This Row],[Transaction_Date]],"mmm")</f>
        <v>Jul</v>
      </c>
      <c r="Q1063" s="11">
        <v>45850</v>
      </c>
      <c r="R1063" s="8" t="s">
        <v>2430</v>
      </c>
      <c r="S1063" s="8" t="s">
        <v>54</v>
      </c>
      <c r="T1063" s="9">
        <v>2013.51</v>
      </c>
      <c r="U1063" t="s">
        <v>71</v>
      </c>
      <c r="V1063" s="8" t="s">
        <v>62</v>
      </c>
      <c r="W1063"/>
      <c r="X1063"/>
    </row>
    <row r="1064" spans="1:24" hidden="1" x14ac:dyDescent="0.3">
      <c r="A1064" t="s">
        <v>2431</v>
      </c>
      <c r="B1064" t="s">
        <v>638</v>
      </c>
      <c r="C1064">
        <v>62</v>
      </c>
      <c r="D1064" t="s">
        <v>37</v>
      </c>
      <c r="E1064" t="s">
        <v>38</v>
      </c>
      <c r="F1064" t="s">
        <v>37</v>
      </c>
      <c r="G1064" t="s">
        <v>80</v>
      </c>
      <c r="H1064" s="8" t="s">
        <v>40</v>
      </c>
      <c r="I1064" s="9">
        <v>80420.800000000003</v>
      </c>
      <c r="J1064" s="9">
        <v>48218.38</v>
      </c>
      <c r="K1064" s="8" t="s">
        <v>74</v>
      </c>
      <c r="L1064" s="10">
        <v>0</v>
      </c>
      <c r="M1064" s="8" t="s">
        <v>75</v>
      </c>
      <c r="N1064" s="9">
        <v>0</v>
      </c>
      <c r="O1064" s="8" t="s">
        <v>30</v>
      </c>
      <c r="P1064" t="str">
        <f>TEXT(Table1[[#This Row],[Transaction_Date]],"mmm")</f>
        <v>Sep</v>
      </c>
      <c r="Q1064" s="11">
        <v>45923</v>
      </c>
      <c r="R1064" s="8" t="s">
        <v>2432</v>
      </c>
      <c r="S1064" s="8" t="s">
        <v>44</v>
      </c>
      <c r="T1064" s="9">
        <v>4439.55</v>
      </c>
      <c r="U1064" t="s">
        <v>33</v>
      </c>
      <c r="V1064" s="8" t="s">
        <v>62</v>
      </c>
      <c r="W1064"/>
      <c r="X1064"/>
    </row>
    <row r="1065" spans="1:24" x14ac:dyDescent="0.3">
      <c r="A1065" t="s">
        <v>2433</v>
      </c>
      <c r="B1065" t="s">
        <v>188</v>
      </c>
      <c r="C1065">
        <v>19</v>
      </c>
      <c r="D1065" t="s">
        <v>97</v>
      </c>
      <c r="E1065" t="s">
        <v>98</v>
      </c>
      <c r="F1065" t="s">
        <v>97</v>
      </c>
      <c r="G1065" t="s">
        <v>39</v>
      </c>
      <c r="H1065" s="8" t="s">
        <v>40</v>
      </c>
      <c r="I1065" s="9">
        <v>60248.45</v>
      </c>
      <c r="J1065" s="9">
        <v>6967.65</v>
      </c>
      <c r="K1065" s="8" t="s">
        <v>52</v>
      </c>
      <c r="L1065" s="10">
        <v>304132.71999999997</v>
      </c>
      <c r="M1065" s="8" t="s">
        <v>42</v>
      </c>
      <c r="N1065" s="9">
        <v>0</v>
      </c>
      <c r="O1065" s="8" t="s">
        <v>30</v>
      </c>
      <c r="P1065" t="str">
        <f>TEXT(Table1[[#This Row],[Transaction_Date]],"mmm")</f>
        <v>Dec</v>
      </c>
      <c r="Q1065" s="11">
        <v>46002</v>
      </c>
      <c r="R1065" s="8" t="s">
        <v>2434</v>
      </c>
      <c r="S1065" s="8" t="s">
        <v>70</v>
      </c>
      <c r="T1065" s="9">
        <v>3917.27</v>
      </c>
      <c r="U1065" t="s">
        <v>45</v>
      </c>
      <c r="V1065" s="8" t="s">
        <v>62</v>
      </c>
      <c r="W1065"/>
      <c r="X1065"/>
    </row>
    <row r="1066" spans="1:24" hidden="1" x14ac:dyDescent="0.3">
      <c r="A1066" t="s">
        <v>2435</v>
      </c>
      <c r="B1066" t="s">
        <v>907</v>
      </c>
      <c r="C1066">
        <v>18</v>
      </c>
      <c r="D1066" t="s">
        <v>24</v>
      </c>
      <c r="E1066" t="s">
        <v>25</v>
      </c>
      <c r="F1066" t="s">
        <v>24</v>
      </c>
      <c r="G1066" t="s">
        <v>51</v>
      </c>
      <c r="H1066" s="8" t="s">
        <v>27</v>
      </c>
      <c r="I1066" s="9">
        <v>102749.95</v>
      </c>
      <c r="J1066" s="9">
        <v>37026.31</v>
      </c>
      <c r="K1066" s="8" t="s">
        <v>68</v>
      </c>
      <c r="L1066" s="10">
        <v>84825.43</v>
      </c>
      <c r="M1066" s="8" t="s">
        <v>29</v>
      </c>
      <c r="N1066" s="9">
        <v>65517.53</v>
      </c>
      <c r="O1066" s="8" t="s">
        <v>30</v>
      </c>
      <c r="P1066" t="str">
        <f>TEXT(Table1[[#This Row],[Transaction_Date]],"mmm")</f>
        <v>May</v>
      </c>
      <c r="Q1066" s="11">
        <v>45800</v>
      </c>
      <c r="R1066" s="8" t="s">
        <v>2436</v>
      </c>
      <c r="S1066" s="8" t="s">
        <v>32</v>
      </c>
      <c r="T1066" s="9">
        <v>6591.01</v>
      </c>
      <c r="U1066" t="s">
        <v>45</v>
      </c>
      <c r="V1066" s="8" t="s">
        <v>34</v>
      </c>
      <c r="W1066"/>
      <c r="X1066"/>
    </row>
    <row r="1067" spans="1:24" hidden="1" x14ac:dyDescent="0.3">
      <c r="A1067" t="s">
        <v>2437</v>
      </c>
      <c r="B1067" t="s">
        <v>129</v>
      </c>
      <c r="C1067">
        <v>26</v>
      </c>
      <c r="D1067" t="s">
        <v>24</v>
      </c>
      <c r="E1067" t="s">
        <v>25</v>
      </c>
      <c r="F1067" t="s">
        <v>24</v>
      </c>
      <c r="G1067" t="s">
        <v>80</v>
      </c>
      <c r="H1067" s="8" t="s">
        <v>67</v>
      </c>
      <c r="I1067" s="9">
        <v>45675.519999999997</v>
      </c>
      <c r="J1067" s="9">
        <v>15692.78</v>
      </c>
      <c r="K1067" s="8" t="s">
        <v>68</v>
      </c>
      <c r="L1067" s="10">
        <v>29410.65</v>
      </c>
      <c r="M1067" s="8" t="s">
        <v>29</v>
      </c>
      <c r="N1067" s="9">
        <v>17445.68</v>
      </c>
      <c r="O1067" s="8" t="s">
        <v>30</v>
      </c>
      <c r="P1067" t="str">
        <f>TEXT(Table1[[#This Row],[Transaction_Date]],"mmm")</f>
        <v>Jun</v>
      </c>
      <c r="Q1067" s="11">
        <v>45833</v>
      </c>
      <c r="R1067" s="8" t="s">
        <v>2438</v>
      </c>
      <c r="S1067" s="8" t="s">
        <v>70</v>
      </c>
      <c r="T1067" s="9">
        <v>8266.19</v>
      </c>
      <c r="U1067" t="s">
        <v>45</v>
      </c>
      <c r="V1067" s="8" t="s">
        <v>34</v>
      </c>
      <c r="W1067"/>
      <c r="X1067"/>
    </row>
    <row r="1068" spans="1:24" x14ac:dyDescent="0.3">
      <c r="A1068" t="s">
        <v>2439</v>
      </c>
      <c r="B1068" t="s">
        <v>600</v>
      </c>
      <c r="C1068">
        <v>44</v>
      </c>
      <c r="D1068" t="s">
        <v>57</v>
      </c>
      <c r="E1068" t="s">
        <v>58</v>
      </c>
      <c r="F1068" t="s">
        <v>57</v>
      </c>
      <c r="G1068" t="s">
        <v>39</v>
      </c>
      <c r="H1068" s="8" t="s">
        <v>40</v>
      </c>
      <c r="I1068" s="9">
        <v>58067.53</v>
      </c>
      <c r="J1068" s="9">
        <v>34917.72</v>
      </c>
      <c r="K1068" s="8" t="s">
        <v>41</v>
      </c>
      <c r="L1068" s="10">
        <v>365049.46</v>
      </c>
      <c r="M1068" s="8" t="s">
        <v>29</v>
      </c>
      <c r="N1068" s="9">
        <v>343362.77</v>
      </c>
      <c r="O1068" s="8" t="s">
        <v>30</v>
      </c>
      <c r="P1068" t="str">
        <f>TEXT(Table1[[#This Row],[Transaction_Date]],"mmm")</f>
        <v>May</v>
      </c>
      <c r="Q1068" s="11">
        <v>45779</v>
      </c>
      <c r="R1068" s="8" t="s">
        <v>2440</v>
      </c>
      <c r="S1068" s="8" t="s">
        <v>54</v>
      </c>
      <c r="T1068" s="9">
        <v>6821.75</v>
      </c>
      <c r="U1068" t="s">
        <v>45</v>
      </c>
      <c r="V1068" s="8" t="s">
        <v>62</v>
      </c>
      <c r="W1068"/>
      <c r="X1068"/>
    </row>
    <row r="1069" spans="1:24" hidden="1" x14ac:dyDescent="0.3">
      <c r="A1069" t="s">
        <v>2441</v>
      </c>
      <c r="B1069" t="s">
        <v>291</v>
      </c>
      <c r="C1069">
        <v>41</v>
      </c>
      <c r="D1069" t="s">
        <v>37</v>
      </c>
      <c r="E1069" t="s">
        <v>38</v>
      </c>
      <c r="F1069" t="s">
        <v>37</v>
      </c>
      <c r="G1069" t="s">
        <v>51</v>
      </c>
      <c r="H1069" s="8" t="s">
        <v>51</v>
      </c>
      <c r="I1069" s="9">
        <v>53217.05</v>
      </c>
      <c r="J1069" s="9">
        <v>7603.08</v>
      </c>
      <c r="K1069" s="8" t="s">
        <v>28</v>
      </c>
      <c r="L1069" s="10">
        <v>126168.48</v>
      </c>
      <c r="M1069" s="8" t="s">
        <v>29</v>
      </c>
      <c r="N1069" s="9">
        <v>79936.710000000006</v>
      </c>
      <c r="O1069" s="8" t="s">
        <v>30</v>
      </c>
      <c r="P1069" t="str">
        <f>TEXT(Table1[[#This Row],[Transaction_Date]],"mmm")</f>
        <v>May</v>
      </c>
      <c r="Q1069" s="11">
        <v>45781</v>
      </c>
      <c r="R1069" s="8" t="s">
        <v>2442</v>
      </c>
      <c r="S1069" s="8" t="s">
        <v>54</v>
      </c>
      <c r="T1069" s="9">
        <v>24024.01</v>
      </c>
      <c r="U1069" t="s">
        <v>77</v>
      </c>
      <c r="V1069" s="8" t="s">
        <v>46</v>
      </c>
      <c r="W1069"/>
      <c r="X1069"/>
    </row>
    <row r="1070" spans="1:24" x14ac:dyDescent="0.3">
      <c r="A1070" t="s">
        <v>2443</v>
      </c>
      <c r="B1070" t="s">
        <v>144</v>
      </c>
      <c r="C1070">
        <v>45</v>
      </c>
      <c r="D1070" t="s">
        <v>475</v>
      </c>
      <c r="E1070" t="s">
        <v>50</v>
      </c>
      <c r="F1070" t="s">
        <v>49</v>
      </c>
      <c r="G1070" t="s">
        <v>39</v>
      </c>
      <c r="H1070" s="8" t="s">
        <v>27</v>
      </c>
      <c r="I1070" s="9">
        <v>61327.82</v>
      </c>
      <c r="J1070" s="9">
        <v>10480.01</v>
      </c>
      <c r="K1070" s="8" t="s">
        <v>28</v>
      </c>
      <c r="L1070" s="10">
        <v>118748.84</v>
      </c>
      <c r="M1070" s="8" t="s">
        <v>29</v>
      </c>
      <c r="N1070" s="9">
        <v>63845.9</v>
      </c>
      <c r="O1070" s="8" t="s">
        <v>30</v>
      </c>
      <c r="P1070" t="str">
        <f>TEXT(Table1[[#This Row],[Transaction_Date]],"mmm")</f>
        <v>Jan</v>
      </c>
      <c r="Q1070" s="11">
        <v>45687</v>
      </c>
      <c r="R1070" s="8" t="s">
        <v>2444</v>
      </c>
      <c r="S1070" s="8" t="s">
        <v>44</v>
      </c>
      <c r="T1070" s="9">
        <v>3893.41</v>
      </c>
      <c r="U1070" t="s">
        <v>71</v>
      </c>
      <c r="V1070" s="8" t="s">
        <v>34</v>
      </c>
      <c r="W1070"/>
      <c r="X1070"/>
    </row>
    <row r="1071" spans="1:24" x14ac:dyDescent="0.3">
      <c r="A1071" t="s">
        <v>2445</v>
      </c>
      <c r="B1071" t="s">
        <v>662</v>
      </c>
      <c r="C1071">
        <v>50</v>
      </c>
      <c r="D1071" t="s">
        <v>65</v>
      </c>
      <c r="E1071" t="s">
        <v>66</v>
      </c>
      <c r="F1071" t="s">
        <v>65</v>
      </c>
      <c r="G1071" t="s">
        <v>39</v>
      </c>
      <c r="H1071" s="8" t="s">
        <v>51</v>
      </c>
      <c r="I1071" s="9">
        <v>84858.11</v>
      </c>
      <c r="J1071" s="9">
        <v>16389.59</v>
      </c>
      <c r="K1071" s="8" t="s">
        <v>28</v>
      </c>
      <c r="L1071" s="10">
        <v>213409.73</v>
      </c>
      <c r="M1071" s="8" t="s">
        <v>42</v>
      </c>
      <c r="N1071" s="9">
        <v>0</v>
      </c>
      <c r="O1071" s="8" t="s">
        <v>30</v>
      </c>
      <c r="P1071" t="str">
        <f>TEXT(Table1[[#This Row],[Transaction_Date]],"mmm")</f>
        <v>Jun</v>
      </c>
      <c r="Q1071" s="11">
        <v>45837</v>
      </c>
      <c r="R1071" s="8" t="s">
        <v>2446</v>
      </c>
      <c r="S1071" s="8" t="s">
        <v>44</v>
      </c>
      <c r="T1071" s="9">
        <v>1774.21</v>
      </c>
      <c r="U1071" t="s">
        <v>45</v>
      </c>
      <c r="V1071" s="8" t="s">
        <v>46</v>
      </c>
      <c r="W1071"/>
      <c r="X1071"/>
    </row>
    <row r="1072" spans="1:24" hidden="1" x14ac:dyDescent="0.3">
      <c r="A1072" t="s">
        <v>2447</v>
      </c>
      <c r="B1072" t="s">
        <v>469</v>
      </c>
      <c r="C1072">
        <v>27</v>
      </c>
      <c r="D1072" t="s">
        <v>92</v>
      </c>
      <c r="E1072" t="s">
        <v>93</v>
      </c>
      <c r="F1072" t="s">
        <v>92</v>
      </c>
      <c r="G1072" t="s">
        <v>26</v>
      </c>
      <c r="H1072" s="8" t="s">
        <v>27</v>
      </c>
      <c r="I1072" s="9">
        <v>12000</v>
      </c>
      <c r="J1072" s="9">
        <v>55795.72</v>
      </c>
      <c r="K1072" s="8" t="s">
        <v>74</v>
      </c>
      <c r="L1072" s="10">
        <v>0</v>
      </c>
      <c r="M1072" s="8" t="s">
        <v>75</v>
      </c>
      <c r="N1072" s="9">
        <v>0</v>
      </c>
      <c r="O1072" s="8" t="s">
        <v>30</v>
      </c>
      <c r="P1072" t="str">
        <f>TEXT(Table1[[#This Row],[Transaction_Date]],"mmm")</f>
        <v>Mar</v>
      </c>
      <c r="Q1072" s="11">
        <v>45720</v>
      </c>
      <c r="R1072" s="8" t="s">
        <v>2448</v>
      </c>
      <c r="S1072" s="8" t="s">
        <v>32</v>
      </c>
      <c r="T1072" s="9">
        <v>605.28</v>
      </c>
      <c r="U1072" t="s">
        <v>33</v>
      </c>
      <c r="V1072" s="8" t="s">
        <v>62</v>
      </c>
      <c r="W1072"/>
      <c r="X1072"/>
    </row>
    <row r="1073" spans="1:24" x14ac:dyDescent="0.3">
      <c r="A1073" t="s">
        <v>2449</v>
      </c>
      <c r="B1073" t="s">
        <v>460</v>
      </c>
      <c r="C1073">
        <v>45</v>
      </c>
      <c r="D1073" t="s">
        <v>49</v>
      </c>
      <c r="E1073" t="s">
        <v>50</v>
      </c>
      <c r="F1073" t="s">
        <v>49</v>
      </c>
      <c r="G1073" t="s">
        <v>39</v>
      </c>
      <c r="H1073" s="8" t="s">
        <v>27</v>
      </c>
      <c r="I1073" s="9">
        <v>86017.9</v>
      </c>
      <c r="J1073" s="9">
        <v>40882.71</v>
      </c>
      <c r="K1073" s="8" t="s">
        <v>41</v>
      </c>
      <c r="L1073" s="10">
        <v>246659.7</v>
      </c>
      <c r="M1073" s="8" t="s">
        <v>29</v>
      </c>
      <c r="N1073" s="9">
        <v>54671.78</v>
      </c>
      <c r="O1073" s="8" t="s">
        <v>30</v>
      </c>
      <c r="P1073" t="str">
        <f>TEXT(Table1[[#This Row],[Transaction_Date]],"mmm")</f>
        <v>Nov</v>
      </c>
      <c r="Q1073" s="11">
        <v>45981</v>
      </c>
      <c r="R1073" s="8" t="s">
        <v>2450</v>
      </c>
      <c r="S1073" s="8" t="s">
        <v>70</v>
      </c>
      <c r="T1073" s="9">
        <v>874.75</v>
      </c>
      <c r="U1073" t="s">
        <v>33</v>
      </c>
      <c r="V1073" s="8" t="s">
        <v>62</v>
      </c>
      <c r="W1073"/>
      <c r="X1073"/>
    </row>
    <row r="1074" spans="1:24" hidden="1" x14ac:dyDescent="0.3">
      <c r="A1074" t="s">
        <v>2451</v>
      </c>
      <c r="B1074" t="s">
        <v>969</v>
      </c>
      <c r="C1074">
        <v>27</v>
      </c>
      <c r="D1074" t="s">
        <v>24</v>
      </c>
      <c r="E1074" t="s">
        <v>25</v>
      </c>
      <c r="F1074" t="s">
        <v>24</v>
      </c>
      <c r="G1074" t="s">
        <v>26</v>
      </c>
      <c r="H1074" s="8" t="s">
        <v>40</v>
      </c>
      <c r="I1074" s="9">
        <v>75388.740000000005</v>
      </c>
      <c r="J1074" s="9">
        <v>12674.78</v>
      </c>
      <c r="K1074" s="8" t="s">
        <v>28</v>
      </c>
      <c r="L1074" s="10">
        <v>239575.62</v>
      </c>
      <c r="M1074" s="8" t="s">
        <v>29</v>
      </c>
      <c r="N1074" s="9">
        <v>90114.94</v>
      </c>
      <c r="O1074" s="8" t="s">
        <v>30</v>
      </c>
      <c r="P1074" t="str">
        <f>TEXT(Table1[[#This Row],[Transaction_Date]],"mmm")</f>
        <v>Dec</v>
      </c>
      <c r="Q1074" s="11">
        <v>46004</v>
      </c>
      <c r="R1074" s="8" t="s">
        <v>2452</v>
      </c>
      <c r="S1074" s="8" t="s">
        <v>70</v>
      </c>
      <c r="T1074" s="9">
        <v>2439.98</v>
      </c>
      <c r="U1074" t="s">
        <v>71</v>
      </c>
      <c r="V1074" s="8" t="s">
        <v>62</v>
      </c>
      <c r="W1074"/>
      <c r="X1074"/>
    </row>
    <row r="1075" spans="1:24" hidden="1" x14ac:dyDescent="0.3">
      <c r="A1075" t="s">
        <v>2453</v>
      </c>
      <c r="B1075" t="s">
        <v>108</v>
      </c>
      <c r="C1075">
        <v>61</v>
      </c>
      <c r="D1075" t="s">
        <v>57</v>
      </c>
      <c r="E1075" t="s">
        <v>58</v>
      </c>
      <c r="F1075" t="s">
        <v>57</v>
      </c>
      <c r="G1075" t="s">
        <v>26</v>
      </c>
      <c r="H1075" s="8" t="s">
        <v>40</v>
      </c>
      <c r="I1075" s="9">
        <v>86313.96</v>
      </c>
      <c r="J1075" s="9">
        <v>12782.06</v>
      </c>
      <c r="K1075" s="8" t="s">
        <v>41</v>
      </c>
      <c r="L1075" s="10">
        <v>63176.17</v>
      </c>
      <c r="M1075" s="8" t="s">
        <v>29</v>
      </c>
      <c r="N1075" s="9">
        <v>47224.71</v>
      </c>
      <c r="O1075" s="8" t="s">
        <v>30</v>
      </c>
      <c r="P1075" t="str">
        <f>TEXT(Table1[[#This Row],[Transaction_Date]],"mmm")</f>
        <v>Feb</v>
      </c>
      <c r="Q1075" s="11">
        <v>45691</v>
      </c>
      <c r="R1075" s="8" t="s">
        <v>2454</v>
      </c>
      <c r="S1075" s="8" t="s">
        <v>32</v>
      </c>
      <c r="T1075" s="9">
        <v>29744.55</v>
      </c>
      <c r="U1075" t="s">
        <v>33</v>
      </c>
      <c r="V1075" s="8" t="s">
        <v>62</v>
      </c>
      <c r="W1075"/>
      <c r="X1075"/>
    </row>
    <row r="1076" spans="1:24" x14ac:dyDescent="0.3">
      <c r="A1076" t="s">
        <v>2455</v>
      </c>
      <c r="B1076" t="s">
        <v>1182</v>
      </c>
      <c r="C1076">
        <v>27</v>
      </c>
      <c r="D1076" t="s">
        <v>57</v>
      </c>
      <c r="E1076" t="s">
        <v>58</v>
      </c>
      <c r="F1076" t="s">
        <v>57</v>
      </c>
      <c r="G1076" t="s">
        <v>39</v>
      </c>
      <c r="H1076" s="8" t="s">
        <v>40</v>
      </c>
      <c r="I1076" s="9">
        <v>68633.460000000006</v>
      </c>
      <c r="J1076" s="9">
        <v>13166.04</v>
      </c>
      <c r="K1076" s="8" t="s">
        <v>28</v>
      </c>
      <c r="L1076" s="10">
        <v>25000</v>
      </c>
      <c r="M1076" s="8" t="s">
        <v>42</v>
      </c>
      <c r="N1076" s="9">
        <v>0</v>
      </c>
      <c r="O1076" s="8" t="s">
        <v>30</v>
      </c>
      <c r="P1076" t="str">
        <f>TEXT(Table1[[#This Row],[Transaction_Date]],"mmm")</f>
        <v>Apr</v>
      </c>
      <c r="Q1076" s="11">
        <v>45750</v>
      </c>
      <c r="R1076" s="8" t="s">
        <v>2456</v>
      </c>
      <c r="S1076" s="8" t="s">
        <v>32</v>
      </c>
      <c r="T1076" s="9">
        <v>2465.86</v>
      </c>
      <c r="U1076" t="s">
        <v>61</v>
      </c>
      <c r="V1076" s="8" t="s">
        <v>46</v>
      </c>
      <c r="W1076"/>
      <c r="X1076"/>
    </row>
    <row r="1077" spans="1:24" hidden="1" x14ac:dyDescent="0.3">
      <c r="A1077" t="s">
        <v>2457</v>
      </c>
      <c r="B1077" t="s">
        <v>328</v>
      </c>
      <c r="C1077">
        <v>55</v>
      </c>
      <c r="D1077" t="s">
        <v>65</v>
      </c>
      <c r="E1077" t="s">
        <v>66</v>
      </c>
      <c r="F1077" t="s">
        <v>65</v>
      </c>
      <c r="G1077" t="s">
        <v>80</v>
      </c>
      <c r="H1077" s="8" t="s">
        <v>51</v>
      </c>
      <c r="I1077" s="9">
        <v>68463.199999999997</v>
      </c>
      <c r="J1077" s="9">
        <v>14366.4</v>
      </c>
      <c r="K1077" s="8" t="s">
        <v>68</v>
      </c>
      <c r="L1077" s="10">
        <v>46626.89</v>
      </c>
      <c r="M1077" s="8" t="s">
        <v>42</v>
      </c>
      <c r="N1077" s="9">
        <v>0</v>
      </c>
      <c r="O1077" s="8" t="s">
        <v>30</v>
      </c>
      <c r="P1077" t="str">
        <f>TEXT(Table1[[#This Row],[Transaction_Date]],"mmm")</f>
        <v>Feb</v>
      </c>
      <c r="Q1077" s="11">
        <v>45704</v>
      </c>
      <c r="R1077" s="8" t="s">
        <v>2458</v>
      </c>
      <c r="S1077" s="8" t="s">
        <v>54</v>
      </c>
      <c r="T1077" s="9">
        <v>16616.43</v>
      </c>
      <c r="U1077" t="s">
        <v>33</v>
      </c>
      <c r="V1077" s="8" t="s">
        <v>62</v>
      </c>
      <c r="W1077"/>
      <c r="X1077"/>
    </row>
    <row r="1078" spans="1:24" hidden="1" x14ac:dyDescent="0.3">
      <c r="A1078" t="s">
        <v>2459</v>
      </c>
      <c r="B1078" t="s">
        <v>141</v>
      </c>
      <c r="C1078">
        <v>30</v>
      </c>
      <c r="D1078" t="s">
        <v>24</v>
      </c>
      <c r="E1078" t="s">
        <v>25</v>
      </c>
      <c r="F1078" t="s">
        <v>24</v>
      </c>
      <c r="G1078" t="s">
        <v>80</v>
      </c>
      <c r="H1078" s="8" t="s">
        <v>40</v>
      </c>
      <c r="I1078" s="9">
        <v>32093.49</v>
      </c>
      <c r="J1078" s="9">
        <v>44150.02</v>
      </c>
      <c r="K1078" s="8" t="s">
        <v>74</v>
      </c>
      <c r="L1078" s="10">
        <v>0</v>
      </c>
      <c r="M1078" s="8" t="s">
        <v>75</v>
      </c>
      <c r="N1078" s="9">
        <v>0</v>
      </c>
      <c r="O1078" s="8" t="s">
        <v>30</v>
      </c>
      <c r="P1078" t="str">
        <f>TEXT(Table1[[#This Row],[Transaction_Date]],"mmm")</f>
        <v>May</v>
      </c>
      <c r="Q1078" s="11">
        <v>45801</v>
      </c>
      <c r="R1078" s="8" t="s">
        <v>2460</v>
      </c>
      <c r="S1078" s="8" t="s">
        <v>54</v>
      </c>
      <c r="T1078" s="9">
        <v>28342.400000000001</v>
      </c>
      <c r="U1078" t="s">
        <v>106</v>
      </c>
      <c r="V1078" s="8" t="s">
        <v>34</v>
      </c>
      <c r="W1078"/>
      <c r="X1078"/>
    </row>
    <row r="1079" spans="1:24" x14ac:dyDescent="0.3">
      <c r="A1079" t="s">
        <v>2461</v>
      </c>
      <c r="B1079" t="s">
        <v>1305</v>
      </c>
      <c r="C1079">
        <v>18</v>
      </c>
      <c r="D1079" t="s">
        <v>65</v>
      </c>
      <c r="E1079" t="s">
        <v>66</v>
      </c>
      <c r="F1079" t="s">
        <v>65</v>
      </c>
      <c r="G1079" t="s">
        <v>39</v>
      </c>
      <c r="H1079" s="8" t="s">
        <v>27</v>
      </c>
      <c r="I1079" s="9">
        <v>63367.41</v>
      </c>
      <c r="J1079" s="9">
        <v>12585.44</v>
      </c>
      <c r="K1079" s="8" t="s">
        <v>68</v>
      </c>
      <c r="L1079" s="10">
        <v>189347.89</v>
      </c>
      <c r="M1079" s="8" t="s">
        <v>42</v>
      </c>
      <c r="N1079" s="9">
        <v>0</v>
      </c>
      <c r="O1079" s="8" t="s">
        <v>30</v>
      </c>
      <c r="P1079" t="str">
        <f>TEXT(Table1[[#This Row],[Transaction_Date]],"mmm")</f>
        <v>Jul</v>
      </c>
      <c r="Q1079" s="11">
        <v>45853</v>
      </c>
      <c r="R1079" s="8" t="s">
        <v>2462</v>
      </c>
      <c r="S1079" s="8" t="s">
        <v>70</v>
      </c>
      <c r="T1079" s="9">
        <v>2448.12</v>
      </c>
      <c r="U1079" t="s">
        <v>77</v>
      </c>
      <c r="V1079" s="8" t="s">
        <v>62</v>
      </c>
      <c r="W1079"/>
      <c r="X1079"/>
    </row>
    <row r="1080" spans="1:24" hidden="1" x14ac:dyDescent="0.3">
      <c r="A1080" t="s">
        <v>2463</v>
      </c>
      <c r="B1080" t="s">
        <v>285</v>
      </c>
      <c r="C1080">
        <v>27</v>
      </c>
      <c r="D1080" t="s">
        <v>92</v>
      </c>
      <c r="E1080" t="s">
        <v>93</v>
      </c>
      <c r="F1080" t="s">
        <v>92</v>
      </c>
      <c r="G1080" t="s">
        <v>80</v>
      </c>
      <c r="H1080" s="8" t="s">
        <v>40</v>
      </c>
      <c r="I1080" s="9">
        <v>51287.02</v>
      </c>
      <c r="J1080" s="9">
        <v>198837.75</v>
      </c>
      <c r="K1080" s="8" t="s">
        <v>28</v>
      </c>
      <c r="L1080" s="10">
        <v>157994.4</v>
      </c>
      <c r="M1080" s="8" t="s">
        <v>42</v>
      </c>
      <c r="N1080" s="9">
        <v>0</v>
      </c>
      <c r="O1080" s="8" t="s">
        <v>30</v>
      </c>
      <c r="P1080" t="str">
        <f>TEXT(Table1[[#This Row],[Transaction_Date]],"mmm")</f>
        <v>Nov</v>
      </c>
      <c r="Q1080" s="11">
        <v>45973</v>
      </c>
      <c r="R1080" s="8" t="s">
        <v>2464</v>
      </c>
      <c r="S1080" s="8" t="s">
        <v>70</v>
      </c>
      <c r="T1080" s="9">
        <v>620.73</v>
      </c>
      <c r="U1080" t="s">
        <v>61</v>
      </c>
      <c r="V1080" s="8" t="s">
        <v>62</v>
      </c>
      <c r="W1080"/>
      <c r="X1080"/>
    </row>
    <row r="1081" spans="1:24" x14ac:dyDescent="0.3">
      <c r="A1081" t="s">
        <v>2465</v>
      </c>
      <c r="B1081" t="s">
        <v>96</v>
      </c>
      <c r="C1081">
        <v>40</v>
      </c>
      <c r="D1081" t="s">
        <v>24</v>
      </c>
      <c r="E1081" t="s">
        <v>25</v>
      </c>
      <c r="F1081" t="s">
        <v>24</v>
      </c>
      <c r="G1081" t="s">
        <v>39</v>
      </c>
      <c r="H1081" s="8" t="s">
        <v>40</v>
      </c>
      <c r="I1081" s="9">
        <v>57046.47</v>
      </c>
      <c r="J1081" s="9">
        <v>12563.85</v>
      </c>
      <c r="K1081" s="8" t="s">
        <v>59</v>
      </c>
      <c r="L1081" s="10">
        <v>119157.26</v>
      </c>
      <c r="M1081" s="8" t="s">
        <v>29</v>
      </c>
      <c r="N1081" s="9">
        <v>97837.81</v>
      </c>
      <c r="O1081" s="8" t="s">
        <v>30</v>
      </c>
      <c r="P1081" t="str">
        <f>TEXT(Table1[[#This Row],[Transaction_Date]],"mmm")</f>
        <v>Nov</v>
      </c>
      <c r="Q1081" s="11">
        <v>45973</v>
      </c>
      <c r="R1081" s="8" t="s">
        <v>2466</v>
      </c>
      <c r="S1081" s="8" t="s">
        <v>70</v>
      </c>
      <c r="T1081" s="9">
        <v>1856.21</v>
      </c>
      <c r="U1081" t="s">
        <v>33</v>
      </c>
      <c r="V1081" s="8" t="s">
        <v>34</v>
      </c>
      <c r="W1081"/>
      <c r="X1081"/>
    </row>
    <row r="1082" spans="1:24" hidden="1" x14ac:dyDescent="0.3">
      <c r="A1082" t="s">
        <v>2467</v>
      </c>
      <c r="B1082" t="s">
        <v>1131</v>
      </c>
      <c r="C1082">
        <v>49</v>
      </c>
      <c r="D1082" t="s">
        <v>57</v>
      </c>
      <c r="E1082" t="s">
        <v>58</v>
      </c>
      <c r="F1082" t="s">
        <v>57</v>
      </c>
      <c r="G1082" t="s">
        <v>80</v>
      </c>
      <c r="H1082" s="8" t="s">
        <v>27</v>
      </c>
      <c r="I1082" s="9">
        <v>52390.6</v>
      </c>
      <c r="J1082" s="9">
        <v>139882.53</v>
      </c>
      <c r="K1082" s="8" t="s">
        <v>74</v>
      </c>
      <c r="L1082" s="10">
        <v>0</v>
      </c>
      <c r="M1082" s="8" t="s">
        <v>75</v>
      </c>
      <c r="N1082" s="9">
        <v>0</v>
      </c>
      <c r="O1082" s="8" t="s">
        <v>30</v>
      </c>
      <c r="P1082" t="str">
        <f>TEXT(Table1[[#This Row],[Transaction_Date]],"mmm")</f>
        <v>Dec</v>
      </c>
      <c r="Q1082" s="11">
        <v>45996</v>
      </c>
      <c r="R1082" s="8" t="s">
        <v>2468</v>
      </c>
      <c r="S1082" s="8" t="s">
        <v>44</v>
      </c>
      <c r="T1082" s="9">
        <v>2781.82</v>
      </c>
      <c r="U1082" t="s">
        <v>106</v>
      </c>
      <c r="V1082" s="8" t="s">
        <v>46</v>
      </c>
      <c r="W1082"/>
      <c r="X1082"/>
    </row>
    <row r="1083" spans="1:24" hidden="1" x14ac:dyDescent="0.3">
      <c r="A1083" t="s">
        <v>2469</v>
      </c>
      <c r="B1083" t="s">
        <v>1646</v>
      </c>
      <c r="C1083">
        <v>29</v>
      </c>
      <c r="D1083" t="s">
        <v>92</v>
      </c>
      <c r="E1083" t="s">
        <v>93</v>
      </c>
      <c r="F1083" t="s">
        <v>92</v>
      </c>
      <c r="G1083" t="s">
        <v>80</v>
      </c>
      <c r="H1083" s="8" t="s">
        <v>27</v>
      </c>
      <c r="I1083" s="9">
        <v>38245.83</v>
      </c>
      <c r="J1083" s="9">
        <v>27624.5</v>
      </c>
      <c r="K1083" s="8" t="s">
        <v>52</v>
      </c>
      <c r="L1083" s="10">
        <v>311175.64</v>
      </c>
      <c r="M1083" s="8" t="s">
        <v>29</v>
      </c>
      <c r="N1083" s="9">
        <v>196050.79</v>
      </c>
      <c r="O1083" s="8" t="s">
        <v>30</v>
      </c>
      <c r="P1083" t="str">
        <f>TEXT(Table1[[#This Row],[Transaction_Date]],"mmm")</f>
        <v>May</v>
      </c>
      <c r="Q1083" s="11">
        <v>45789</v>
      </c>
      <c r="R1083" s="8" t="s">
        <v>2470</v>
      </c>
      <c r="S1083" s="8" t="s">
        <v>54</v>
      </c>
      <c r="T1083" s="9">
        <v>13883.25</v>
      </c>
      <c r="U1083" t="s">
        <v>71</v>
      </c>
      <c r="V1083" s="8" t="s">
        <v>46</v>
      </c>
      <c r="W1083"/>
      <c r="X1083"/>
    </row>
    <row r="1084" spans="1:24" x14ac:dyDescent="0.3">
      <c r="A1084" t="s">
        <v>2471</v>
      </c>
      <c r="B1084" t="s">
        <v>390</v>
      </c>
      <c r="C1084">
        <v>30</v>
      </c>
      <c r="D1084" t="s">
        <v>475</v>
      </c>
      <c r="E1084" t="s">
        <v>98</v>
      </c>
      <c r="F1084" t="s">
        <v>97</v>
      </c>
      <c r="G1084" t="s">
        <v>39</v>
      </c>
      <c r="H1084" s="8" t="s">
        <v>27</v>
      </c>
      <c r="I1084" s="9">
        <v>71078.31</v>
      </c>
      <c r="J1084" s="9">
        <v>10993.61</v>
      </c>
      <c r="K1084" s="8" t="s">
        <v>74</v>
      </c>
      <c r="L1084" s="10">
        <v>0</v>
      </c>
      <c r="M1084" s="8" t="s">
        <v>75</v>
      </c>
      <c r="N1084" s="9">
        <v>0</v>
      </c>
      <c r="O1084" s="8" t="s">
        <v>30</v>
      </c>
      <c r="P1084" t="str">
        <f>TEXT(Table1[[#This Row],[Transaction_Date]],"mmm")</f>
        <v>Jan</v>
      </c>
      <c r="Q1084" s="11">
        <v>45673</v>
      </c>
      <c r="R1084" s="8" t="s">
        <v>2472</v>
      </c>
      <c r="S1084" s="8" t="s">
        <v>54</v>
      </c>
      <c r="T1084" s="9">
        <v>15965.61</v>
      </c>
      <c r="U1084" t="s">
        <v>106</v>
      </c>
      <c r="V1084" s="8" t="s">
        <v>62</v>
      </c>
      <c r="W1084"/>
      <c r="X1084"/>
    </row>
    <row r="1085" spans="1:24" hidden="1" x14ac:dyDescent="0.3">
      <c r="A1085" t="s">
        <v>2473</v>
      </c>
      <c r="B1085" t="s">
        <v>665</v>
      </c>
      <c r="C1085">
        <v>39</v>
      </c>
      <c r="D1085" t="s">
        <v>84</v>
      </c>
      <c r="E1085" t="s">
        <v>85</v>
      </c>
      <c r="F1085" t="s">
        <v>84</v>
      </c>
      <c r="G1085" t="s">
        <v>51</v>
      </c>
      <c r="H1085" s="8" t="s">
        <v>27</v>
      </c>
      <c r="I1085" s="9">
        <v>33949.81</v>
      </c>
      <c r="J1085" s="9">
        <v>25717.95</v>
      </c>
      <c r="K1085" s="8" t="s">
        <v>59</v>
      </c>
      <c r="L1085" s="10">
        <v>160577.29</v>
      </c>
      <c r="M1085" s="8" t="s">
        <v>29</v>
      </c>
      <c r="N1085" s="9">
        <v>78682.62</v>
      </c>
      <c r="O1085" s="8" t="s">
        <v>228</v>
      </c>
      <c r="P1085" t="str">
        <f>TEXT(Table1[[#This Row],[Transaction_Date]],"mmm")</f>
        <v>Jun</v>
      </c>
      <c r="Q1085" s="11">
        <v>45815</v>
      </c>
      <c r="R1085" s="8" t="s">
        <v>2474</v>
      </c>
      <c r="S1085" s="8" t="s">
        <v>44</v>
      </c>
      <c r="T1085" s="9">
        <v>11960.57</v>
      </c>
      <c r="U1085" t="s">
        <v>45</v>
      </c>
      <c r="V1085" s="8" t="s">
        <v>62</v>
      </c>
      <c r="W1085"/>
      <c r="X1085"/>
    </row>
    <row r="1086" spans="1:24" hidden="1" x14ac:dyDescent="0.3">
      <c r="A1086" t="s">
        <v>2475</v>
      </c>
      <c r="B1086" t="s">
        <v>1428</v>
      </c>
      <c r="C1086">
        <v>21</v>
      </c>
      <c r="D1086" t="s">
        <v>37</v>
      </c>
      <c r="E1086" t="s">
        <v>38</v>
      </c>
      <c r="F1086" t="s">
        <v>37</v>
      </c>
      <c r="G1086" t="s">
        <v>80</v>
      </c>
      <c r="H1086" s="8" t="s">
        <v>40</v>
      </c>
      <c r="I1086" s="9">
        <v>63161.8</v>
      </c>
      <c r="J1086" s="9">
        <v>17522.45</v>
      </c>
      <c r="K1086" s="8" t="s">
        <v>74</v>
      </c>
      <c r="L1086" s="10">
        <v>0</v>
      </c>
      <c r="M1086" s="8" t="s">
        <v>75</v>
      </c>
      <c r="N1086" s="9">
        <v>0</v>
      </c>
      <c r="O1086" s="8" t="s">
        <v>30</v>
      </c>
      <c r="P1086" t="str">
        <f>TEXT(Table1[[#This Row],[Transaction_Date]],"mmm")</f>
        <v>May</v>
      </c>
      <c r="Q1086" s="11">
        <v>45800</v>
      </c>
      <c r="R1086" s="8" t="s">
        <v>2476</v>
      </c>
      <c r="S1086" s="8" t="s">
        <v>54</v>
      </c>
      <c r="T1086" s="9">
        <v>4292.18</v>
      </c>
      <c r="U1086" t="s">
        <v>71</v>
      </c>
      <c r="V1086" s="8" t="s">
        <v>46</v>
      </c>
      <c r="W1086"/>
      <c r="X1086"/>
    </row>
    <row r="1087" spans="1:24" hidden="1" x14ac:dyDescent="0.3">
      <c r="A1087" t="s">
        <v>2477</v>
      </c>
      <c r="B1087" t="s">
        <v>574</v>
      </c>
      <c r="C1087">
        <v>18</v>
      </c>
      <c r="D1087" t="s">
        <v>475</v>
      </c>
      <c r="E1087" t="s">
        <v>66</v>
      </c>
      <c r="F1087" t="s">
        <v>65</v>
      </c>
      <c r="G1087" t="s">
        <v>26</v>
      </c>
      <c r="H1087" s="8" t="s">
        <v>51</v>
      </c>
      <c r="I1087" s="9">
        <v>62852.06</v>
      </c>
      <c r="J1087" s="9">
        <v>48429.06</v>
      </c>
      <c r="K1087" s="8" t="s">
        <v>68</v>
      </c>
      <c r="L1087" s="10">
        <v>57316.02</v>
      </c>
      <c r="M1087" s="8" t="s">
        <v>42</v>
      </c>
      <c r="N1087" s="9">
        <v>0</v>
      </c>
      <c r="O1087" s="8" t="s">
        <v>30</v>
      </c>
      <c r="P1087" t="str">
        <f>TEXT(Table1[[#This Row],[Transaction_Date]],"mmm")</f>
        <v>Apr</v>
      </c>
      <c r="Q1087" s="11">
        <v>45753</v>
      </c>
      <c r="R1087" s="8" t="s">
        <v>2478</v>
      </c>
      <c r="S1087" s="8" t="s">
        <v>54</v>
      </c>
      <c r="T1087" s="9">
        <v>4958.51</v>
      </c>
      <c r="U1087" t="s">
        <v>71</v>
      </c>
      <c r="V1087" s="8" t="s">
        <v>62</v>
      </c>
      <c r="W1087"/>
      <c r="X1087"/>
    </row>
    <row r="1088" spans="1:24" hidden="1" x14ac:dyDescent="0.3">
      <c r="A1088" t="s">
        <v>2479</v>
      </c>
      <c r="B1088" t="s">
        <v>328</v>
      </c>
      <c r="C1088">
        <v>59</v>
      </c>
      <c r="D1088" t="s">
        <v>65</v>
      </c>
      <c r="E1088" t="s">
        <v>66</v>
      </c>
      <c r="F1088" t="s">
        <v>65</v>
      </c>
      <c r="G1088" t="s">
        <v>80</v>
      </c>
      <c r="H1088" s="8" t="s">
        <v>51</v>
      </c>
      <c r="I1088" s="9">
        <v>51090.25</v>
      </c>
      <c r="J1088" s="9">
        <v>75685.55</v>
      </c>
      <c r="K1088" s="8" t="s">
        <v>68</v>
      </c>
      <c r="L1088" s="10">
        <v>25000</v>
      </c>
      <c r="M1088" s="8" t="s">
        <v>29</v>
      </c>
      <c r="N1088" s="9">
        <v>17791.740000000002</v>
      </c>
      <c r="O1088" s="8" t="s">
        <v>228</v>
      </c>
      <c r="P1088" t="str">
        <f>TEXT(Table1[[#This Row],[Transaction_Date]],"mmm")</f>
        <v>Aug</v>
      </c>
      <c r="Q1088" s="11">
        <v>45884</v>
      </c>
      <c r="R1088" s="8" t="s">
        <v>2480</v>
      </c>
      <c r="S1088" s="8" t="s">
        <v>54</v>
      </c>
      <c r="T1088" s="9">
        <v>4761.05</v>
      </c>
      <c r="U1088" t="s">
        <v>61</v>
      </c>
      <c r="V1088" s="8" t="s">
        <v>62</v>
      </c>
      <c r="W1088"/>
      <c r="X1088"/>
    </row>
    <row r="1089" spans="1:24" hidden="1" x14ac:dyDescent="0.3">
      <c r="A1089" t="s">
        <v>2481</v>
      </c>
      <c r="B1089" t="s">
        <v>104</v>
      </c>
      <c r="C1089">
        <v>42</v>
      </c>
      <c r="D1089" t="s">
        <v>92</v>
      </c>
      <c r="E1089" t="s">
        <v>93</v>
      </c>
      <c r="F1089" t="s">
        <v>92</v>
      </c>
      <c r="G1089" t="s">
        <v>80</v>
      </c>
      <c r="H1089" s="8" t="s">
        <v>27</v>
      </c>
      <c r="I1089" s="9">
        <v>53336.61</v>
      </c>
      <c r="J1089" s="9">
        <v>51981.13</v>
      </c>
      <c r="K1089" s="8" t="s">
        <v>74</v>
      </c>
      <c r="L1089" s="10">
        <v>0</v>
      </c>
      <c r="M1089" s="8" t="s">
        <v>75</v>
      </c>
      <c r="N1089" s="9">
        <v>0</v>
      </c>
      <c r="O1089" s="8" t="s">
        <v>30</v>
      </c>
      <c r="P1089" t="str">
        <f>TEXT(Table1[[#This Row],[Transaction_Date]],"mmm")</f>
        <v>Mar</v>
      </c>
      <c r="Q1089" s="11">
        <v>45739</v>
      </c>
      <c r="R1089" s="8" t="s">
        <v>2482</v>
      </c>
      <c r="S1089" s="8" t="s">
        <v>32</v>
      </c>
      <c r="T1089" s="9">
        <v>1238.1500000000001</v>
      </c>
      <c r="U1089" t="s">
        <v>45</v>
      </c>
      <c r="V1089" s="8" t="s">
        <v>34</v>
      </c>
      <c r="W1089"/>
      <c r="X1089"/>
    </row>
    <row r="1090" spans="1:24" x14ac:dyDescent="0.3">
      <c r="A1090" t="s">
        <v>2483</v>
      </c>
      <c r="B1090" t="s">
        <v>126</v>
      </c>
      <c r="C1090">
        <v>29</v>
      </c>
      <c r="D1090" t="s">
        <v>49</v>
      </c>
      <c r="E1090" t="s">
        <v>50</v>
      </c>
      <c r="F1090" t="s">
        <v>49</v>
      </c>
      <c r="G1090" t="s">
        <v>39</v>
      </c>
      <c r="H1090" s="8" t="s">
        <v>51</v>
      </c>
      <c r="I1090" s="9">
        <v>45880.68</v>
      </c>
      <c r="J1090" s="9">
        <v>3852.02</v>
      </c>
      <c r="K1090" s="8" t="s">
        <v>74</v>
      </c>
      <c r="L1090" s="10">
        <v>0</v>
      </c>
      <c r="M1090" s="8" t="s">
        <v>75</v>
      </c>
      <c r="N1090" s="9">
        <v>0</v>
      </c>
      <c r="O1090" s="8" t="s">
        <v>30</v>
      </c>
      <c r="P1090" t="str">
        <f>TEXT(Table1[[#This Row],[Transaction_Date]],"mmm")</f>
        <v>Mar</v>
      </c>
      <c r="Q1090" s="11">
        <v>45730</v>
      </c>
      <c r="R1090" s="8" t="s">
        <v>2484</v>
      </c>
      <c r="S1090" s="8" t="s">
        <v>54</v>
      </c>
      <c r="T1090" s="9">
        <v>7361.84</v>
      </c>
      <c r="U1090" t="s">
        <v>106</v>
      </c>
      <c r="V1090" s="8" t="s">
        <v>62</v>
      </c>
      <c r="W1090"/>
      <c r="X1090"/>
    </row>
    <row r="1091" spans="1:24" hidden="1" x14ac:dyDescent="0.3">
      <c r="A1091" t="s">
        <v>2485</v>
      </c>
      <c r="B1091" t="s">
        <v>997</v>
      </c>
      <c r="C1091">
        <v>33</v>
      </c>
      <c r="D1091" t="s">
        <v>92</v>
      </c>
      <c r="E1091" t="s">
        <v>93</v>
      </c>
      <c r="F1091" t="s">
        <v>92</v>
      </c>
      <c r="G1091" t="s">
        <v>51</v>
      </c>
      <c r="H1091" s="8" t="s">
        <v>40</v>
      </c>
      <c r="I1091" s="9">
        <v>52402.47</v>
      </c>
      <c r="J1091" s="9">
        <v>32425.79</v>
      </c>
      <c r="K1091" s="8" t="s">
        <v>68</v>
      </c>
      <c r="L1091" s="10">
        <v>71206.179999999993</v>
      </c>
      <c r="M1091" s="8" t="s">
        <v>42</v>
      </c>
      <c r="N1091" s="9">
        <v>0</v>
      </c>
      <c r="O1091" s="8" t="s">
        <v>30</v>
      </c>
      <c r="P1091" t="str">
        <f>TEXT(Table1[[#This Row],[Transaction_Date]],"mmm")</f>
        <v>Sep</v>
      </c>
      <c r="Q1091" s="11">
        <v>45928</v>
      </c>
      <c r="R1091" s="8" t="s">
        <v>2486</v>
      </c>
      <c r="S1091" s="8" t="s">
        <v>44</v>
      </c>
      <c r="T1091" s="9">
        <v>1371.91</v>
      </c>
      <c r="U1091" t="s">
        <v>106</v>
      </c>
      <c r="V1091" s="8" t="s">
        <v>34</v>
      </c>
      <c r="W1091"/>
      <c r="X1091"/>
    </row>
    <row r="1092" spans="1:24" hidden="1" x14ac:dyDescent="0.3">
      <c r="A1092" t="s">
        <v>2487</v>
      </c>
      <c r="B1092" t="s">
        <v>997</v>
      </c>
      <c r="C1092">
        <v>37</v>
      </c>
      <c r="D1092" t="s">
        <v>37</v>
      </c>
      <c r="E1092" t="s">
        <v>38</v>
      </c>
      <c r="F1092" t="s">
        <v>37</v>
      </c>
      <c r="G1092" t="s">
        <v>26</v>
      </c>
      <c r="H1092" s="8" t="s">
        <v>27</v>
      </c>
      <c r="I1092" s="9">
        <v>66570.77</v>
      </c>
      <c r="J1092" s="9">
        <v>12525.17</v>
      </c>
      <c r="K1092" s="8" t="s">
        <v>74</v>
      </c>
      <c r="L1092" s="10">
        <v>0</v>
      </c>
      <c r="M1092" s="8" t="s">
        <v>75</v>
      </c>
      <c r="N1092" s="9">
        <v>0</v>
      </c>
      <c r="O1092" s="8" t="s">
        <v>30</v>
      </c>
      <c r="P1092" t="str">
        <f>TEXT(Table1[[#This Row],[Transaction_Date]],"mmm")</f>
        <v>Jan</v>
      </c>
      <c r="Q1092" s="11">
        <v>45681</v>
      </c>
      <c r="R1092" s="8" t="s">
        <v>2488</v>
      </c>
      <c r="S1092" s="8" t="s">
        <v>54</v>
      </c>
      <c r="T1092" s="9">
        <v>10560.34</v>
      </c>
      <c r="U1092" t="s">
        <v>45</v>
      </c>
      <c r="V1092" s="8" t="s">
        <v>46</v>
      </c>
      <c r="W1092"/>
      <c r="X1092"/>
    </row>
    <row r="1093" spans="1:24" hidden="1" x14ac:dyDescent="0.3">
      <c r="A1093" t="s">
        <v>2489</v>
      </c>
      <c r="B1093" t="s">
        <v>409</v>
      </c>
      <c r="C1093">
        <v>75</v>
      </c>
      <c r="D1093" t="s">
        <v>24</v>
      </c>
      <c r="E1093" t="s">
        <v>25</v>
      </c>
      <c r="F1093" t="s">
        <v>24</v>
      </c>
      <c r="G1093" t="s">
        <v>80</v>
      </c>
      <c r="H1093" s="8" t="s">
        <v>40</v>
      </c>
      <c r="I1093" s="9">
        <v>61213.89</v>
      </c>
      <c r="J1093" s="9">
        <v>44159.99</v>
      </c>
      <c r="K1093" s="8" t="s">
        <v>74</v>
      </c>
      <c r="L1093" s="10">
        <v>0</v>
      </c>
      <c r="M1093" s="8" t="s">
        <v>75</v>
      </c>
      <c r="N1093" s="9">
        <v>0</v>
      </c>
      <c r="O1093" s="8" t="s">
        <v>30</v>
      </c>
      <c r="P1093" t="str">
        <f>TEXT(Table1[[#This Row],[Transaction_Date]],"mmm")</f>
        <v>Jan</v>
      </c>
      <c r="Q1093" s="11">
        <v>45667</v>
      </c>
      <c r="R1093" s="8" t="s">
        <v>2490</v>
      </c>
      <c r="S1093" s="8" t="s">
        <v>54</v>
      </c>
      <c r="T1093" s="9">
        <v>2022.5</v>
      </c>
      <c r="U1093" t="s">
        <v>106</v>
      </c>
      <c r="V1093" s="8" t="s">
        <v>46</v>
      </c>
      <c r="W1093"/>
      <c r="X1093"/>
    </row>
    <row r="1094" spans="1:24" x14ac:dyDescent="0.3">
      <c r="A1094" t="s">
        <v>2491</v>
      </c>
      <c r="B1094" t="s">
        <v>231</v>
      </c>
      <c r="C1094">
        <v>45</v>
      </c>
      <c r="D1094" t="s">
        <v>37</v>
      </c>
      <c r="E1094" t="s">
        <v>38</v>
      </c>
      <c r="F1094" t="s">
        <v>37</v>
      </c>
      <c r="G1094" t="s">
        <v>39</v>
      </c>
      <c r="H1094" s="8" t="s">
        <v>67</v>
      </c>
      <c r="I1094" s="9">
        <v>31359.67</v>
      </c>
      <c r="J1094" s="9">
        <v>18737.650000000001</v>
      </c>
      <c r="K1094" s="8" t="s">
        <v>59</v>
      </c>
      <c r="L1094" s="10">
        <v>124153.42</v>
      </c>
      <c r="M1094" s="8" t="s">
        <v>42</v>
      </c>
      <c r="N1094" s="9">
        <v>0</v>
      </c>
      <c r="O1094" s="8" t="s">
        <v>30</v>
      </c>
      <c r="P1094" t="str">
        <f>TEXT(Table1[[#This Row],[Transaction_Date]],"mmm")</f>
        <v>Aug</v>
      </c>
      <c r="Q1094" s="11">
        <v>45899</v>
      </c>
      <c r="R1094" s="8" t="s">
        <v>2492</v>
      </c>
      <c r="S1094" s="8" t="s">
        <v>54</v>
      </c>
      <c r="T1094" s="9">
        <v>7359.91</v>
      </c>
      <c r="U1094" t="s">
        <v>71</v>
      </c>
      <c r="V1094" s="8" t="s">
        <v>62</v>
      </c>
      <c r="W1094"/>
      <c r="X1094"/>
    </row>
    <row r="1095" spans="1:24" hidden="1" x14ac:dyDescent="0.3">
      <c r="A1095" t="s">
        <v>2493</v>
      </c>
      <c r="B1095" t="s">
        <v>592</v>
      </c>
      <c r="C1095">
        <v>49</v>
      </c>
      <c r="D1095" t="s">
        <v>92</v>
      </c>
      <c r="E1095" t="s">
        <v>93</v>
      </c>
      <c r="F1095" t="s">
        <v>92</v>
      </c>
      <c r="G1095" t="s">
        <v>26</v>
      </c>
      <c r="H1095" s="8" t="s">
        <v>51</v>
      </c>
      <c r="I1095" s="9">
        <v>59065.91</v>
      </c>
      <c r="J1095" s="9">
        <v>32671.9</v>
      </c>
      <c r="K1095" s="8" t="s">
        <v>74</v>
      </c>
      <c r="L1095" s="10">
        <v>0</v>
      </c>
      <c r="M1095" s="8" t="s">
        <v>75</v>
      </c>
      <c r="N1095" s="9">
        <v>0</v>
      </c>
      <c r="O1095" s="8" t="s">
        <v>30</v>
      </c>
      <c r="P1095" t="str">
        <f>TEXT(Table1[[#This Row],[Transaction_Date]],"mmm")</f>
        <v>Jan</v>
      </c>
      <c r="Q1095" s="11">
        <v>45660</v>
      </c>
      <c r="R1095" s="8" t="s">
        <v>2494</v>
      </c>
      <c r="S1095" s="8" t="s">
        <v>54</v>
      </c>
      <c r="T1095" s="9">
        <v>4217.72</v>
      </c>
      <c r="U1095" t="s">
        <v>71</v>
      </c>
      <c r="V1095" s="8" t="s">
        <v>62</v>
      </c>
      <c r="W1095"/>
      <c r="X1095"/>
    </row>
    <row r="1096" spans="1:24" hidden="1" x14ac:dyDescent="0.3">
      <c r="A1096" t="s">
        <v>2495</v>
      </c>
      <c r="B1096" t="s">
        <v>149</v>
      </c>
      <c r="C1096">
        <v>43</v>
      </c>
      <c r="D1096" t="s">
        <v>57</v>
      </c>
      <c r="E1096" t="s">
        <v>58</v>
      </c>
      <c r="F1096" t="s">
        <v>57</v>
      </c>
      <c r="G1096" t="s">
        <v>80</v>
      </c>
      <c r="H1096" s="8" t="s">
        <v>27</v>
      </c>
      <c r="I1096" s="9">
        <v>68073.84</v>
      </c>
      <c r="J1096" s="9">
        <v>13726.1</v>
      </c>
      <c r="K1096" s="8" t="s">
        <v>74</v>
      </c>
      <c r="L1096" s="10">
        <v>0</v>
      </c>
      <c r="M1096" s="8" t="s">
        <v>75</v>
      </c>
      <c r="N1096" s="9">
        <v>0</v>
      </c>
      <c r="O1096" s="8" t="s">
        <v>30</v>
      </c>
      <c r="P1096" t="str">
        <f>TEXT(Table1[[#This Row],[Transaction_Date]],"mmm")</f>
        <v>Mar</v>
      </c>
      <c r="Q1096" s="11">
        <v>45727</v>
      </c>
      <c r="R1096" s="8" t="s">
        <v>2496</v>
      </c>
      <c r="S1096" s="8" t="s">
        <v>32</v>
      </c>
      <c r="T1096" s="9">
        <v>4869.47</v>
      </c>
      <c r="U1096" t="s">
        <v>61</v>
      </c>
      <c r="V1096" s="8" t="s">
        <v>62</v>
      </c>
      <c r="W1096"/>
      <c r="X1096"/>
    </row>
    <row r="1097" spans="1:24" hidden="1" x14ac:dyDescent="0.3">
      <c r="A1097" t="s">
        <v>2497</v>
      </c>
      <c r="B1097" t="s">
        <v>387</v>
      </c>
      <c r="C1097">
        <v>32</v>
      </c>
      <c r="D1097" t="s">
        <v>57</v>
      </c>
      <c r="E1097" t="s">
        <v>58</v>
      </c>
      <c r="F1097" t="s">
        <v>57</v>
      </c>
      <c r="G1097" t="s">
        <v>80</v>
      </c>
      <c r="H1097" s="8" t="s">
        <v>51</v>
      </c>
      <c r="I1097" s="9">
        <v>81403.11</v>
      </c>
      <c r="J1097" s="9">
        <v>23260.57</v>
      </c>
      <c r="K1097" s="8" t="s">
        <v>68</v>
      </c>
      <c r="L1097" s="10">
        <v>74495.960000000006</v>
      </c>
      <c r="M1097" s="8" t="s">
        <v>29</v>
      </c>
      <c r="N1097" s="9">
        <v>26926.68</v>
      </c>
      <c r="O1097" s="8" t="s">
        <v>30</v>
      </c>
      <c r="P1097" t="str">
        <f>TEXT(Table1[[#This Row],[Transaction_Date]],"mmm")</f>
        <v>Jul</v>
      </c>
      <c r="Q1097" s="11">
        <v>45853</v>
      </c>
      <c r="R1097" s="8" t="s">
        <v>2498</v>
      </c>
      <c r="S1097" s="8" t="s">
        <v>70</v>
      </c>
      <c r="T1097" s="9">
        <v>40834.120000000003</v>
      </c>
      <c r="U1097" t="s">
        <v>77</v>
      </c>
      <c r="V1097" s="8" t="s">
        <v>34</v>
      </c>
      <c r="W1097"/>
      <c r="X1097"/>
    </row>
    <row r="1098" spans="1:24" x14ac:dyDescent="0.3">
      <c r="A1098" t="s">
        <v>2499</v>
      </c>
      <c r="B1098" t="s">
        <v>1423</v>
      </c>
      <c r="C1098">
        <v>27</v>
      </c>
      <c r="D1098" t="s">
        <v>57</v>
      </c>
      <c r="E1098" t="s">
        <v>58</v>
      </c>
      <c r="F1098" t="s">
        <v>57</v>
      </c>
      <c r="G1098" t="s">
        <v>39</v>
      </c>
      <c r="H1098" s="8" t="s">
        <v>51</v>
      </c>
      <c r="I1098" s="9">
        <v>55315.05</v>
      </c>
      <c r="J1098" s="9">
        <v>11121.27</v>
      </c>
      <c r="K1098" s="8" t="s">
        <v>68</v>
      </c>
      <c r="L1098" s="10">
        <v>40993.46</v>
      </c>
      <c r="M1098" s="8" t="s">
        <v>29</v>
      </c>
      <c r="N1098" s="9">
        <v>22630.27</v>
      </c>
      <c r="O1098" s="8" t="s">
        <v>228</v>
      </c>
      <c r="P1098" t="str">
        <f>TEXT(Table1[[#This Row],[Transaction_Date]],"mmm")</f>
        <v>Jun</v>
      </c>
      <c r="Q1098" s="11">
        <v>45825</v>
      </c>
      <c r="R1098" s="8" t="s">
        <v>2500</v>
      </c>
      <c r="S1098" s="8" t="s">
        <v>70</v>
      </c>
      <c r="T1098" s="9">
        <v>3257.82</v>
      </c>
      <c r="U1098" t="s">
        <v>45</v>
      </c>
      <c r="V1098" s="8" t="s">
        <v>62</v>
      </c>
      <c r="W1098"/>
      <c r="X1098"/>
    </row>
    <row r="1099" spans="1:24" hidden="1" x14ac:dyDescent="0.3">
      <c r="A1099" t="s">
        <v>2501</v>
      </c>
      <c r="B1099" t="s">
        <v>530</v>
      </c>
      <c r="C1099">
        <v>32</v>
      </c>
      <c r="D1099" t="s">
        <v>65</v>
      </c>
      <c r="E1099" t="s">
        <v>66</v>
      </c>
      <c r="F1099" t="s">
        <v>65</v>
      </c>
      <c r="G1099" t="s">
        <v>26</v>
      </c>
      <c r="H1099" s="8" t="s">
        <v>51</v>
      </c>
      <c r="I1099" s="9">
        <v>63032.87</v>
      </c>
      <c r="J1099" s="9">
        <v>33019.449999999997</v>
      </c>
      <c r="K1099" s="8" t="s">
        <v>68</v>
      </c>
      <c r="L1099" s="10">
        <v>31547.01</v>
      </c>
      <c r="M1099" s="8" t="s">
        <v>42</v>
      </c>
      <c r="N1099" s="9">
        <v>0</v>
      </c>
      <c r="O1099" s="8" t="s">
        <v>30</v>
      </c>
      <c r="P1099" t="str">
        <f>TEXT(Table1[[#This Row],[Transaction_Date]],"mmm")</f>
        <v>Oct</v>
      </c>
      <c r="Q1099" s="11">
        <v>45950</v>
      </c>
      <c r="R1099" s="8" t="s">
        <v>2502</v>
      </c>
      <c r="S1099" s="8" t="s">
        <v>32</v>
      </c>
      <c r="T1099" s="9">
        <v>7774.54</v>
      </c>
      <c r="U1099" t="s">
        <v>33</v>
      </c>
      <c r="V1099" s="8" t="s">
        <v>46</v>
      </c>
      <c r="W1099"/>
      <c r="X1099"/>
    </row>
    <row r="1100" spans="1:24" hidden="1" x14ac:dyDescent="0.3">
      <c r="A1100" t="s">
        <v>2503</v>
      </c>
      <c r="B1100" t="s">
        <v>273</v>
      </c>
      <c r="C1100">
        <v>55</v>
      </c>
      <c r="D1100" t="s">
        <v>49</v>
      </c>
      <c r="E1100" t="s">
        <v>50</v>
      </c>
      <c r="F1100" t="s">
        <v>49</v>
      </c>
      <c r="G1100" t="s">
        <v>80</v>
      </c>
      <c r="H1100" s="8" t="s">
        <v>51</v>
      </c>
      <c r="I1100" s="9">
        <v>67446.25</v>
      </c>
      <c r="J1100" s="9">
        <v>44016.38</v>
      </c>
      <c r="K1100" s="8" t="s">
        <v>68</v>
      </c>
      <c r="L1100" s="10">
        <v>61505.54</v>
      </c>
      <c r="M1100" s="8" t="s">
        <v>29</v>
      </c>
      <c r="N1100" s="9">
        <v>43809.62</v>
      </c>
      <c r="O1100" s="8" t="s">
        <v>228</v>
      </c>
      <c r="P1100" t="str">
        <f>TEXT(Table1[[#This Row],[Transaction_Date]],"mmm")</f>
        <v>Sep</v>
      </c>
      <c r="Q1100" s="11">
        <v>45930</v>
      </c>
      <c r="R1100" s="8" t="s">
        <v>2504</v>
      </c>
      <c r="S1100" s="8" t="s">
        <v>70</v>
      </c>
      <c r="T1100" s="9">
        <v>2647.84</v>
      </c>
      <c r="U1100" t="s">
        <v>33</v>
      </c>
      <c r="V1100" s="8" t="s">
        <v>46</v>
      </c>
      <c r="W1100"/>
      <c r="X1100"/>
    </row>
    <row r="1101" spans="1:24" hidden="1" x14ac:dyDescent="0.3">
      <c r="A1101" t="s">
        <v>2505</v>
      </c>
      <c r="B1101" t="s">
        <v>254</v>
      </c>
      <c r="C1101">
        <v>54</v>
      </c>
      <c r="D1101" t="s">
        <v>97</v>
      </c>
      <c r="E1101" t="s">
        <v>98</v>
      </c>
      <c r="F1101" t="s">
        <v>97</v>
      </c>
      <c r="G1101" t="s">
        <v>80</v>
      </c>
      <c r="H1101" s="8" t="s">
        <v>40</v>
      </c>
      <c r="I1101" s="9">
        <v>36177.339999999997</v>
      </c>
      <c r="J1101" s="9">
        <v>11067.04</v>
      </c>
      <c r="K1101" s="8" t="s">
        <v>59</v>
      </c>
      <c r="L1101" s="10">
        <v>31738.71</v>
      </c>
      <c r="M1101" s="8" t="s">
        <v>29</v>
      </c>
      <c r="N1101" s="9">
        <v>7177.69</v>
      </c>
      <c r="O1101" s="8" t="s">
        <v>30</v>
      </c>
      <c r="P1101" t="str">
        <f>TEXT(Table1[[#This Row],[Transaction_Date]],"mmm")</f>
        <v>Aug</v>
      </c>
      <c r="Q1101" s="11">
        <v>45875</v>
      </c>
      <c r="R1101" s="8" t="s">
        <v>2506</v>
      </c>
      <c r="S1101" s="8" t="s">
        <v>70</v>
      </c>
      <c r="T1101" s="9">
        <v>27164.87</v>
      </c>
      <c r="U1101" t="s">
        <v>45</v>
      </c>
      <c r="V1101" s="8" t="s">
        <v>62</v>
      </c>
      <c r="W1101"/>
      <c r="X1101"/>
    </row>
    <row r="1102" spans="1:24" x14ac:dyDescent="0.3">
      <c r="A1102" t="s">
        <v>2507</v>
      </c>
      <c r="B1102" t="s">
        <v>291</v>
      </c>
      <c r="C1102">
        <v>41</v>
      </c>
      <c r="D1102" t="s">
        <v>24</v>
      </c>
      <c r="E1102" t="s">
        <v>25</v>
      </c>
      <c r="F1102" t="s">
        <v>24</v>
      </c>
      <c r="G1102" t="s">
        <v>39</v>
      </c>
      <c r="H1102" s="8" t="s">
        <v>40</v>
      </c>
      <c r="I1102" s="9">
        <v>37406.57</v>
      </c>
      <c r="J1102" s="9">
        <v>43645.95</v>
      </c>
      <c r="K1102" s="8" t="s">
        <v>68</v>
      </c>
      <c r="L1102" s="10">
        <v>103025.69</v>
      </c>
      <c r="M1102" s="8" t="s">
        <v>42</v>
      </c>
      <c r="N1102" s="9">
        <v>0</v>
      </c>
      <c r="O1102" s="8" t="s">
        <v>30</v>
      </c>
      <c r="P1102" t="str">
        <f>TEXT(Table1[[#This Row],[Transaction_Date]],"mmm")</f>
        <v>Oct</v>
      </c>
      <c r="Q1102" s="11">
        <v>45937</v>
      </c>
      <c r="R1102" s="8" t="s">
        <v>2508</v>
      </c>
      <c r="S1102" s="8" t="s">
        <v>32</v>
      </c>
      <c r="T1102" s="9">
        <v>749.22</v>
      </c>
      <c r="U1102" t="s">
        <v>71</v>
      </c>
      <c r="V1102" s="8" t="s">
        <v>46</v>
      </c>
      <c r="W1102"/>
      <c r="X1102"/>
    </row>
    <row r="1103" spans="1:24" hidden="1" x14ac:dyDescent="0.3">
      <c r="A1103" t="s">
        <v>2509</v>
      </c>
      <c r="B1103" t="s">
        <v>79</v>
      </c>
      <c r="C1103">
        <v>52</v>
      </c>
      <c r="D1103" t="s">
        <v>84</v>
      </c>
      <c r="E1103" t="s">
        <v>85</v>
      </c>
      <c r="F1103" t="s">
        <v>84</v>
      </c>
      <c r="G1103" t="s">
        <v>26</v>
      </c>
      <c r="H1103" s="8" t="s">
        <v>40</v>
      </c>
      <c r="I1103" s="9">
        <v>62798.38</v>
      </c>
      <c r="J1103" s="9">
        <v>27649.74</v>
      </c>
      <c r="K1103" s="8" t="s">
        <v>68</v>
      </c>
      <c r="L1103" s="10">
        <v>56073.96</v>
      </c>
      <c r="M1103" s="8" t="s">
        <v>29</v>
      </c>
      <c r="N1103" s="9">
        <v>46121.53</v>
      </c>
      <c r="O1103" s="8" t="s">
        <v>228</v>
      </c>
      <c r="P1103" t="str">
        <f>TEXT(Table1[[#This Row],[Transaction_Date]],"mmm")</f>
        <v>Oct</v>
      </c>
      <c r="Q1103" s="11">
        <v>45951</v>
      </c>
      <c r="R1103" s="8" t="s">
        <v>2510</v>
      </c>
      <c r="S1103" s="8" t="s">
        <v>70</v>
      </c>
      <c r="T1103" s="9">
        <v>2465.86</v>
      </c>
      <c r="U1103" t="s">
        <v>45</v>
      </c>
      <c r="V1103" s="8" t="s">
        <v>46</v>
      </c>
      <c r="W1103"/>
      <c r="X1103"/>
    </row>
    <row r="1104" spans="1:24" hidden="1" x14ac:dyDescent="0.3">
      <c r="A1104" t="s">
        <v>2511</v>
      </c>
      <c r="B1104" t="s">
        <v>237</v>
      </c>
      <c r="C1104">
        <v>18</v>
      </c>
      <c r="D1104" t="s">
        <v>37</v>
      </c>
      <c r="E1104" t="s">
        <v>38</v>
      </c>
      <c r="F1104" t="s">
        <v>37</v>
      </c>
      <c r="G1104" t="s">
        <v>80</v>
      </c>
      <c r="H1104" s="8" t="s">
        <v>40</v>
      </c>
      <c r="I1104" s="9">
        <v>63584.24</v>
      </c>
      <c r="J1104" s="9">
        <v>40942.959999999999</v>
      </c>
      <c r="K1104" s="8" t="s">
        <v>68</v>
      </c>
      <c r="L1104" s="10">
        <v>139117.19</v>
      </c>
      <c r="M1104" s="8" t="s">
        <v>29</v>
      </c>
      <c r="N1104" s="9">
        <v>58543.72</v>
      </c>
      <c r="O1104" s="8" t="s">
        <v>30</v>
      </c>
      <c r="P1104" t="str">
        <f>TEXT(Table1[[#This Row],[Transaction_Date]],"mmm")</f>
        <v>Dec</v>
      </c>
      <c r="Q1104" s="11">
        <v>45997</v>
      </c>
      <c r="R1104" s="8" t="s">
        <v>2512</v>
      </c>
      <c r="S1104" s="8" t="s">
        <v>54</v>
      </c>
      <c r="T1104" s="9">
        <v>4615.9799999999996</v>
      </c>
      <c r="U1104" t="s">
        <v>106</v>
      </c>
      <c r="V1104" s="8" t="s">
        <v>62</v>
      </c>
      <c r="W1104"/>
      <c r="X1104"/>
    </row>
    <row r="1105" spans="1:24" x14ac:dyDescent="0.3">
      <c r="A1105" t="s">
        <v>2513</v>
      </c>
      <c r="B1105" t="s">
        <v>992</v>
      </c>
      <c r="C1105">
        <v>42</v>
      </c>
      <c r="D1105" t="s">
        <v>37</v>
      </c>
      <c r="E1105" t="s">
        <v>38</v>
      </c>
      <c r="F1105" t="s">
        <v>37</v>
      </c>
      <c r="G1105" t="s">
        <v>39</v>
      </c>
      <c r="H1105" s="8" t="s">
        <v>27</v>
      </c>
      <c r="I1105" s="9">
        <v>64558.35</v>
      </c>
      <c r="J1105" s="9">
        <v>22425.77</v>
      </c>
      <c r="K1105" s="8" t="s">
        <v>28</v>
      </c>
      <c r="L1105" s="10">
        <v>209863.94</v>
      </c>
      <c r="M1105" s="8" t="s">
        <v>42</v>
      </c>
      <c r="N1105" s="9">
        <v>0</v>
      </c>
      <c r="O1105" s="8" t="s">
        <v>30</v>
      </c>
      <c r="P1105" t="str">
        <f>TEXT(Table1[[#This Row],[Transaction_Date]],"mmm")</f>
        <v>Feb</v>
      </c>
      <c r="Q1105" s="11">
        <v>45708</v>
      </c>
      <c r="R1105" s="8" t="s">
        <v>2514</v>
      </c>
      <c r="S1105" s="8" t="s">
        <v>44</v>
      </c>
      <c r="T1105" s="9">
        <v>984.38</v>
      </c>
      <c r="U1105" t="s">
        <v>106</v>
      </c>
      <c r="V1105" s="8" t="s">
        <v>62</v>
      </c>
      <c r="W1105"/>
      <c r="X1105"/>
    </row>
    <row r="1106" spans="1:24" x14ac:dyDescent="0.3">
      <c r="A1106" t="s">
        <v>2515</v>
      </c>
      <c r="B1106" t="s">
        <v>418</v>
      </c>
      <c r="C1106">
        <v>45</v>
      </c>
      <c r="D1106" t="s">
        <v>49</v>
      </c>
      <c r="E1106" t="s">
        <v>50</v>
      </c>
      <c r="F1106" t="s">
        <v>49</v>
      </c>
      <c r="G1106" t="s">
        <v>39</v>
      </c>
      <c r="H1106" s="8" t="s">
        <v>40</v>
      </c>
      <c r="I1106" s="9">
        <v>68190.73</v>
      </c>
      <c r="J1106" s="9">
        <v>10798.04</v>
      </c>
      <c r="K1106" s="8" t="s">
        <v>68</v>
      </c>
      <c r="L1106" s="10">
        <v>31401.77</v>
      </c>
      <c r="M1106" s="8" t="s">
        <v>29</v>
      </c>
      <c r="N1106" s="9">
        <v>17049.45</v>
      </c>
      <c r="O1106" s="8" t="s">
        <v>30</v>
      </c>
      <c r="P1106" t="str">
        <f>TEXT(Table1[[#This Row],[Transaction_Date]],"mmm")</f>
        <v>Aug</v>
      </c>
      <c r="Q1106" s="11">
        <v>45878</v>
      </c>
      <c r="R1106" s="8" t="s">
        <v>2516</v>
      </c>
      <c r="S1106" s="8" t="s">
        <v>44</v>
      </c>
      <c r="T1106" s="9">
        <v>1601.69</v>
      </c>
      <c r="U1106" t="s">
        <v>71</v>
      </c>
      <c r="V1106" s="8" t="s">
        <v>62</v>
      </c>
      <c r="W1106"/>
      <c r="X1106"/>
    </row>
    <row r="1107" spans="1:24" x14ac:dyDescent="0.3">
      <c r="A1107" t="s">
        <v>2517</v>
      </c>
      <c r="B1107" t="s">
        <v>346</v>
      </c>
      <c r="C1107">
        <v>32</v>
      </c>
      <c r="D1107" t="s">
        <v>65</v>
      </c>
      <c r="E1107" t="s">
        <v>66</v>
      </c>
      <c r="F1107" t="s">
        <v>65</v>
      </c>
      <c r="G1107" t="s">
        <v>39</v>
      </c>
      <c r="H1107" s="8" t="s">
        <v>67</v>
      </c>
      <c r="I1107" s="9">
        <v>33461.49</v>
      </c>
      <c r="J1107" s="9">
        <v>43311.75</v>
      </c>
      <c r="K1107" s="8" t="s">
        <v>28</v>
      </c>
      <c r="L1107" s="10">
        <v>37968.33</v>
      </c>
      <c r="M1107" s="8" t="s">
        <v>29</v>
      </c>
      <c r="N1107" s="9">
        <v>9880.9699999999993</v>
      </c>
      <c r="O1107" s="8" t="s">
        <v>30</v>
      </c>
      <c r="P1107" t="str">
        <f>TEXT(Table1[[#This Row],[Transaction_Date]],"mmm")</f>
        <v>Sep</v>
      </c>
      <c r="Q1107" s="11">
        <v>45916</v>
      </c>
      <c r="R1107" s="8" t="s">
        <v>2518</v>
      </c>
      <c r="S1107" s="8" t="s">
        <v>54</v>
      </c>
      <c r="T1107" s="9">
        <v>6400.62</v>
      </c>
      <c r="U1107" t="s">
        <v>45</v>
      </c>
      <c r="V1107" s="8" t="s">
        <v>62</v>
      </c>
      <c r="W1107"/>
      <c r="X1107"/>
    </row>
    <row r="1108" spans="1:24" hidden="1" x14ac:dyDescent="0.3">
      <c r="A1108" t="s">
        <v>2519</v>
      </c>
      <c r="B1108" t="s">
        <v>904</v>
      </c>
      <c r="C1108">
        <v>27</v>
      </c>
      <c r="D1108" t="s">
        <v>97</v>
      </c>
      <c r="E1108" t="s">
        <v>98</v>
      </c>
      <c r="F1108" t="s">
        <v>97</v>
      </c>
      <c r="G1108" t="s">
        <v>80</v>
      </c>
      <c r="H1108" s="8" t="s">
        <v>40</v>
      </c>
      <c r="I1108" s="9">
        <v>59460.1</v>
      </c>
      <c r="J1108" s="9">
        <v>12826.28</v>
      </c>
      <c r="K1108" s="8" t="s">
        <v>74</v>
      </c>
      <c r="L1108" s="10">
        <v>0</v>
      </c>
      <c r="M1108" s="8" t="s">
        <v>75</v>
      </c>
      <c r="N1108" s="9">
        <v>0</v>
      </c>
      <c r="O1108" s="8" t="s">
        <v>30</v>
      </c>
      <c r="P1108" t="str">
        <f>TEXT(Table1[[#This Row],[Transaction_Date]],"mmm")</f>
        <v>Mar</v>
      </c>
      <c r="Q1108" s="11">
        <v>45732</v>
      </c>
      <c r="R1108" s="8" t="s">
        <v>2520</v>
      </c>
      <c r="S1108" s="8" t="s">
        <v>70</v>
      </c>
      <c r="T1108" s="9">
        <v>1013.31</v>
      </c>
      <c r="U1108" t="s">
        <v>45</v>
      </c>
      <c r="V1108" s="8" t="s">
        <v>46</v>
      </c>
      <c r="W1108"/>
      <c r="X1108"/>
    </row>
    <row r="1109" spans="1:24" hidden="1" x14ac:dyDescent="0.3">
      <c r="A1109" t="s">
        <v>2521</v>
      </c>
      <c r="B1109" t="s">
        <v>665</v>
      </c>
      <c r="C1109">
        <v>48</v>
      </c>
      <c r="D1109" t="s">
        <v>24</v>
      </c>
      <c r="E1109" t="s">
        <v>25</v>
      </c>
      <c r="F1109" t="s">
        <v>24</v>
      </c>
      <c r="G1109" t="s">
        <v>80</v>
      </c>
      <c r="H1109" s="8" t="s">
        <v>27</v>
      </c>
      <c r="I1109" s="9">
        <v>64457.69</v>
      </c>
      <c r="J1109" s="9">
        <v>46007.040000000001</v>
      </c>
      <c r="K1109" s="8" t="s">
        <v>59</v>
      </c>
      <c r="L1109" s="10">
        <v>213916.68</v>
      </c>
      <c r="M1109" s="8" t="s">
        <v>29</v>
      </c>
      <c r="N1109" s="9">
        <v>83352.740000000005</v>
      </c>
      <c r="O1109" s="8" t="s">
        <v>30</v>
      </c>
      <c r="P1109" t="str">
        <f>TEXT(Table1[[#This Row],[Transaction_Date]],"mmm")</f>
        <v>Jan</v>
      </c>
      <c r="Q1109" s="11">
        <v>45687</v>
      </c>
      <c r="R1109" s="8" t="s">
        <v>2522</v>
      </c>
      <c r="S1109" s="8" t="s">
        <v>44</v>
      </c>
      <c r="T1109" s="9">
        <v>1116.94</v>
      </c>
      <c r="U1109" t="s">
        <v>71</v>
      </c>
      <c r="V1109" s="8" t="s">
        <v>62</v>
      </c>
      <c r="W1109"/>
      <c r="X1109"/>
    </row>
    <row r="1110" spans="1:24" x14ac:dyDescent="0.3">
      <c r="A1110" t="s">
        <v>2523</v>
      </c>
      <c r="B1110" t="s">
        <v>542</v>
      </c>
      <c r="C1110">
        <v>48</v>
      </c>
      <c r="D1110" t="s">
        <v>92</v>
      </c>
      <c r="E1110" t="s">
        <v>93</v>
      </c>
      <c r="F1110" t="s">
        <v>92</v>
      </c>
      <c r="G1110" t="s">
        <v>39</v>
      </c>
      <c r="H1110" s="8" t="s">
        <v>67</v>
      </c>
      <c r="I1110" s="9">
        <v>12000</v>
      </c>
      <c r="J1110" s="9">
        <v>5569.15</v>
      </c>
      <c r="K1110" s="8" t="s">
        <v>41</v>
      </c>
      <c r="L1110" s="10">
        <v>176071.72</v>
      </c>
      <c r="M1110" s="8" t="s">
        <v>29</v>
      </c>
      <c r="N1110" s="9">
        <v>163227.29999999999</v>
      </c>
      <c r="O1110" s="8" t="s">
        <v>30</v>
      </c>
      <c r="P1110" t="str">
        <f>TEXT(Table1[[#This Row],[Transaction_Date]],"mmm")</f>
        <v>Nov</v>
      </c>
      <c r="Q1110" s="11">
        <v>45978</v>
      </c>
      <c r="R1110" s="8" t="s">
        <v>2524</v>
      </c>
      <c r="S1110" s="8" t="s">
        <v>32</v>
      </c>
      <c r="T1110" s="9">
        <v>2914.93</v>
      </c>
      <c r="U1110" t="s">
        <v>33</v>
      </c>
      <c r="V1110" s="8" t="s">
        <v>62</v>
      </c>
      <c r="W1110"/>
      <c r="X1110"/>
    </row>
    <row r="1111" spans="1:24" x14ac:dyDescent="0.3">
      <c r="A1111" t="s">
        <v>2525</v>
      </c>
      <c r="B1111" t="s">
        <v>455</v>
      </c>
      <c r="C1111">
        <v>51</v>
      </c>
      <c r="D1111" t="s">
        <v>57</v>
      </c>
      <c r="E1111" t="s">
        <v>58</v>
      </c>
      <c r="F1111" t="s">
        <v>57</v>
      </c>
      <c r="G1111" t="s">
        <v>39</v>
      </c>
      <c r="H1111" s="8" t="s">
        <v>51</v>
      </c>
      <c r="I1111" s="9">
        <v>48992.92</v>
      </c>
      <c r="J1111" s="9">
        <v>38289.43</v>
      </c>
      <c r="K1111" s="8" t="s">
        <v>68</v>
      </c>
      <c r="L1111" s="10">
        <v>25000</v>
      </c>
      <c r="M1111" s="8" t="s">
        <v>42</v>
      </c>
      <c r="N1111" s="9">
        <v>0</v>
      </c>
      <c r="O1111" s="8" t="s">
        <v>30</v>
      </c>
      <c r="P1111" t="str">
        <f>TEXT(Table1[[#This Row],[Transaction_Date]],"mmm")</f>
        <v>Oct</v>
      </c>
      <c r="Q1111" s="11">
        <v>45955</v>
      </c>
      <c r="R1111" s="8" t="s">
        <v>2526</v>
      </c>
      <c r="S1111" s="8" t="s">
        <v>44</v>
      </c>
      <c r="T1111" s="9">
        <v>2153.37</v>
      </c>
      <c r="U1111" t="s">
        <v>61</v>
      </c>
      <c r="V1111" s="8" t="s">
        <v>62</v>
      </c>
      <c r="W1111"/>
      <c r="X1111"/>
    </row>
    <row r="1112" spans="1:24" x14ac:dyDescent="0.3">
      <c r="A1112" t="s">
        <v>2527</v>
      </c>
      <c r="B1112" t="s">
        <v>237</v>
      </c>
      <c r="C1112">
        <v>29</v>
      </c>
      <c r="D1112" t="s">
        <v>97</v>
      </c>
      <c r="E1112" t="s">
        <v>98</v>
      </c>
      <c r="F1112" t="s">
        <v>97</v>
      </c>
      <c r="G1112" t="s">
        <v>39</v>
      </c>
      <c r="H1112" s="8" t="s">
        <v>40</v>
      </c>
      <c r="I1112" s="9">
        <v>35597.22</v>
      </c>
      <c r="J1112" s="9">
        <v>11769.38</v>
      </c>
      <c r="K1112" s="8" t="s">
        <v>59</v>
      </c>
      <c r="L1112" s="10">
        <v>25000</v>
      </c>
      <c r="M1112" s="8" t="s">
        <v>29</v>
      </c>
      <c r="N1112" s="9">
        <v>14299.58</v>
      </c>
      <c r="O1112" s="8" t="s">
        <v>228</v>
      </c>
      <c r="P1112" t="str">
        <f>TEXT(Table1[[#This Row],[Transaction_Date]],"mmm")</f>
        <v>Nov</v>
      </c>
      <c r="Q1112" s="11">
        <v>45985</v>
      </c>
      <c r="R1112" s="8" t="s">
        <v>2528</v>
      </c>
      <c r="S1112" s="8" t="s">
        <v>44</v>
      </c>
      <c r="T1112" s="9">
        <v>973.26</v>
      </c>
      <c r="U1112" t="s">
        <v>33</v>
      </c>
      <c r="V1112" s="8" t="s">
        <v>62</v>
      </c>
      <c r="W1112"/>
      <c r="X1112"/>
    </row>
    <row r="1113" spans="1:24" hidden="1" x14ac:dyDescent="0.3">
      <c r="A1113" t="s">
        <v>2529</v>
      </c>
      <c r="B1113" t="s">
        <v>734</v>
      </c>
      <c r="C1113">
        <v>39</v>
      </c>
      <c r="D1113" t="s">
        <v>97</v>
      </c>
      <c r="E1113" t="s">
        <v>98</v>
      </c>
      <c r="F1113" t="s">
        <v>97</v>
      </c>
      <c r="G1113" t="s">
        <v>51</v>
      </c>
      <c r="H1113" s="8" t="s">
        <v>51</v>
      </c>
      <c r="I1113" s="9">
        <v>47833.41</v>
      </c>
      <c r="J1113" s="9">
        <v>53942.44</v>
      </c>
      <c r="K1113" s="8" t="s">
        <v>74</v>
      </c>
      <c r="L1113" s="10">
        <v>0</v>
      </c>
      <c r="M1113" s="8" t="s">
        <v>75</v>
      </c>
      <c r="N1113" s="9">
        <v>0</v>
      </c>
      <c r="O1113" s="8" t="s">
        <v>30</v>
      </c>
      <c r="P1113" t="str">
        <f>TEXT(Table1[[#This Row],[Transaction_Date]],"mmm")</f>
        <v>Jul</v>
      </c>
      <c r="Q1113" s="11">
        <v>45866</v>
      </c>
      <c r="R1113" s="8" t="s">
        <v>2530</v>
      </c>
      <c r="S1113" s="8" t="s">
        <v>44</v>
      </c>
      <c r="T1113" s="9">
        <v>1071.6600000000001</v>
      </c>
      <c r="U1113" t="s">
        <v>33</v>
      </c>
      <c r="V1113" s="8" t="s">
        <v>46</v>
      </c>
      <c r="W1113"/>
      <c r="X1113"/>
    </row>
    <row r="1114" spans="1:24" x14ac:dyDescent="0.3">
      <c r="A1114" t="s">
        <v>2531</v>
      </c>
      <c r="B1114" t="s">
        <v>879</v>
      </c>
      <c r="C1114">
        <v>45</v>
      </c>
      <c r="D1114" t="s">
        <v>24</v>
      </c>
      <c r="E1114" t="s">
        <v>25</v>
      </c>
      <c r="F1114" t="s">
        <v>24</v>
      </c>
      <c r="G1114" t="s">
        <v>39</v>
      </c>
      <c r="H1114" s="8" t="s">
        <v>51</v>
      </c>
      <c r="I1114" s="9">
        <v>87250.54</v>
      </c>
      <c r="J1114" s="9">
        <v>6612.55</v>
      </c>
      <c r="K1114" s="8" t="s">
        <v>28</v>
      </c>
      <c r="L1114" s="10">
        <v>329603.84000000003</v>
      </c>
      <c r="M1114" s="8" t="s">
        <v>29</v>
      </c>
      <c r="N1114" s="9">
        <v>102215.09</v>
      </c>
      <c r="O1114" s="8" t="s">
        <v>30</v>
      </c>
      <c r="P1114" t="str">
        <f>TEXT(Table1[[#This Row],[Transaction_Date]],"mmm")</f>
        <v>Apr</v>
      </c>
      <c r="Q1114" s="11">
        <v>45750</v>
      </c>
      <c r="R1114" s="8" t="s">
        <v>2532</v>
      </c>
      <c r="S1114" s="8" t="s">
        <v>44</v>
      </c>
      <c r="T1114" s="9">
        <v>2694.61</v>
      </c>
      <c r="U1114" t="s">
        <v>106</v>
      </c>
      <c r="V1114" s="8" t="s">
        <v>62</v>
      </c>
      <c r="W1114"/>
      <c r="X1114"/>
    </row>
    <row r="1115" spans="1:24" hidden="1" x14ac:dyDescent="0.3">
      <c r="A1115" t="s">
        <v>2533</v>
      </c>
      <c r="B1115" t="s">
        <v>784</v>
      </c>
      <c r="C1115">
        <v>32</v>
      </c>
      <c r="D1115" t="s">
        <v>92</v>
      </c>
      <c r="E1115" t="s">
        <v>93</v>
      </c>
      <c r="F1115" t="s">
        <v>92</v>
      </c>
      <c r="G1115" t="s">
        <v>80</v>
      </c>
      <c r="H1115" s="8" t="s">
        <v>40</v>
      </c>
      <c r="I1115" s="9">
        <v>30904.080000000002</v>
      </c>
      <c r="J1115" s="9">
        <v>15852.45</v>
      </c>
      <c r="K1115" s="8" t="s">
        <v>28</v>
      </c>
      <c r="L1115" s="10">
        <v>30036.68</v>
      </c>
      <c r="M1115" s="8" t="s">
        <v>29</v>
      </c>
      <c r="N1115" s="9">
        <v>22887.84</v>
      </c>
      <c r="O1115" s="8" t="s">
        <v>30</v>
      </c>
      <c r="P1115" t="str">
        <f>TEXT(Table1[[#This Row],[Transaction_Date]],"mmm")</f>
        <v>Nov</v>
      </c>
      <c r="Q1115" s="11">
        <v>45964</v>
      </c>
      <c r="R1115" s="8" t="s">
        <v>2534</v>
      </c>
      <c r="S1115" s="8" t="s">
        <v>54</v>
      </c>
      <c r="T1115" s="9">
        <v>8483.01</v>
      </c>
      <c r="U1115" t="s">
        <v>61</v>
      </c>
      <c r="V1115" s="8" t="s">
        <v>62</v>
      </c>
      <c r="W1115"/>
      <c r="X1115"/>
    </row>
    <row r="1116" spans="1:24" hidden="1" x14ac:dyDescent="0.3">
      <c r="A1116" t="s">
        <v>2535</v>
      </c>
      <c r="B1116" t="s">
        <v>243</v>
      </c>
      <c r="C1116">
        <v>25</v>
      </c>
      <c r="D1116" t="s">
        <v>84</v>
      </c>
      <c r="E1116" t="s">
        <v>85</v>
      </c>
      <c r="F1116" t="s">
        <v>84</v>
      </c>
      <c r="G1116" t="s">
        <v>26</v>
      </c>
      <c r="H1116" s="8" t="s">
        <v>27</v>
      </c>
      <c r="I1116" s="9">
        <v>76263.89</v>
      </c>
      <c r="J1116" s="9">
        <v>42072.58</v>
      </c>
      <c r="K1116" s="8" t="s">
        <v>28</v>
      </c>
      <c r="L1116" s="10">
        <v>174153.65</v>
      </c>
      <c r="M1116" s="8" t="s">
        <v>29</v>
      </c>
      <c r="N1116" s="9">
        <v>136846.85999999999</v>
      </c>
      <c r="O1116" s="8" t="s">
        <v>30</v>
      </c>
      <c r="P1116" t="str">
        <f>TEXT(Table1[[#This Row],[Transaction_Date]],"mmm")</f>
        <v>Oct</v>
      </c>
      <c r="Q1116" s="11">
        <v>45950</v>
      </c>
      <c r="R1116" s="8" t="s">
        <v>2536</v>
      </c>
      <c r="S1116" s="8" t="s">
        <v>44</v>
      </c>
      <c r="T1116" s="9">
        <v>410.11</v>
      </c>
      <c r="U1116" t="s">
        <v>61</v>
      </c>
      <c r="V1116" s="8" t="s">
        <v>62</v>
      </c>
      <c r="W1116"/>
      <c r="X1116"/>
    </row>
    <row r="1117" spans="1:24" hidden="1" x14ac:dyDescent="0.3">
      <c r="A1117" t="s">
        <v>2537</v>
      </c>
      <c r="B1117" t="s">
        <v>711</v>
      </c>
      <c r="C1117">
        <v>18</v>
      </c>
      <c r="D1117" t="s">
        <v>65</v>
      </c>
      <c r="E1117" t="s">
        <v>66</v>
      </c>
      <c r="F1117" t="s">
        <v>65</v>
      </c>
      <c r="G1117" t="s">
        <v>26</v>
      </c>
      <c r="H1117" s="8" t="s">
        <v>51</v>
      </c>
      <c r="I1117" s="9">
        <v>45812.52</v>
      </c>
      <c r="J1117" s="9">
        <v>12577.55</v>
      </c>
      <c r="K1117" s="8" t="s">
        <v>28</v>
      </c>
      <c r="L1117" s="10">
        <v>30420.86</v>
      </c>
      <c r="M1117" s="8" t="s">
        <v>29</v>
      </c>
      <c r="N1117" s="9">
        <v>24854.97</v>
      </c>
      <c r="O1117" s="8" t="s">
        <v>30</v>
      </c>
      <c r="P1117" t="str">
        <f>TEXT(Table1[[#This Row],[Transaction_Date]],"mmm")</f>
        <v>May</v>
      </c>
      <c r="Q1117" s="11">
        <v>45803</v>
      </c>
      <c r="R1117" s="8" t="s">
        <v>2538</v>
      </c>
      <c r="S1117" s="8" t="s">
        <v>32</v>
      </c>
      <c r="T1117" s="9">
        <v>4811.82</v>
      </c>
      <c r="U1117" t="s">
        <v>33</v>
      </c>
      <c r="V1117" s="8" t="s">
        <v>62</v>
      </c>
      <c r="W1117"/>
      <c r="X1117"/>
    </row>
    <row r="1118" spans="1:24" hidden="1" x14ac:dyDescent="0.3">
      <c r="A1118" t="s">
        <v>2539</v>
      </c>
      <c r="B1118" t="s">
        <v>2085</v>
      </c>
      <c r="C1118">
        <v>49</v>
      </c>
      <c r="D1118" t="s">
        <v>24</v>
      </c>
      <c r="E1118" t="s">
        <v>25</v>
      </c>
      <c r="F1118" t="s">
        <v>24</v>
      </c>
      <c r="G1118" t="s">
        <v>26</v>
      </c>
      <c r="H1118" s="8" t="s">
        <v>40</v>
      </c>
      <c r="I1118" s="9">
        <v>69228.289999999994</v>
      </c>
      <c r="J1118" s="9">
        <v>46944.76</v>
      </c>
      <c r="K1118" s="8" t="s">
        <v>74</v>
      </c>
      <c r="L1118" s="10">
        <v>0</v>
      </c>
      <c r="M1118" s="8" t="s">
        <v>75</v>
      </c>
      <c r="N1118" s="9">
        <v>0</v>
      </c>
      <c r="O1118" s="8" t="s">
        <v>30</v>
      </c>
      <c r="P1118" t="str">
        <f>TEXT(Table1[[#This Row],[Transaction_Date]],"mmm")</f>
        <v>Sep</v>
      </c>
      <c r="Q1118" s="11">
        <v>45920</v>
      </c>
      <c r="R1118" s="8" t="s">
        <v>2540</v>
      </c>
      <c r="S1118" s="8" t="s">
        <v>32</v>
      </c>
      <c r="T1118" s="9">
        <v>1131.8900000000001</v>
      </c>
      <c r="U1118" t="s">
        <v>77</v>
      </c>
      <c r="V1118" s="8" t="s">
        <v>62</v>
      </c>
      <c r="W1118"/>
      <c r="X1118"/>
    </row>
    <row r="1119" spans="1:24" x14ac:dyDescent="0.3">
      <c r="A1119" t="s">
        <v>2541</v>
      </c>
      <c r="B1119" t="s">
        <v>108</v>
      </c>
      <c r="C1119">
        <v>32</v>
      </c>
      <c r="D1119" t="s">
        <v>37</v>
      </c>
      <c r="E1119" t="s">
        <v>38</v>
      </c>
      <c r="F1119" t="s">
        <v>37</v>
      </c>
      <c r="G1119" t="s">
        <v>39</v>
      </c>
      <c r="H1119" s="8" t="s">
        <v>67</v>
      </c>
      <c r="I1119" s="9">
        <v>32250.26</v>
      </c>
      <c r="J1119" s="9">
        <v>72702.31</v>
      </c>
      <c r="K1119" s="8" t="s">
        <v>59</v>
      </c>
      <c r="L1119" s="10">
        <v>25000</v>
      </c>
      <c r="M1119" s="8" t="s">
        <v>42</v>
      </c>
      <c r="N1119" s="9">
        <v>0</v>
      </c>
      <c r="O1119" s="8" t="s">
        <v>30</v>
      </c>
      <c r="P1119" t="str">
        <f>TEXT(Table1[[#This Row],[Transaction_Date]],"mmm")</f>
        <v>Dec</v>
      </c>
      <c r="Q1119" s="11">
        <v>46011</v>
      </c>
      <c r="R1119" s="8" t="s">
        <v>2542</v>
      </c>
      <c r="S1119" s="8" t="s">
        <v>32</v>
      </c>
      <c r="T1119" s="9">
        <v>4195.32</v>
      </c>
      <c r="U1119" t="s">
        <v>71</v>
      </c>
      <c r="V1119" s="8" t="s">
        <v>62</v>
      </c>
      <c r="W1119"/>
      <c r="X1119"/>
    </row>
    <row r="1120" spans="1:24" x14ac:dyDescent="0.3">
      <c r="A1120" t="s">
        <v>2543</v>
      </c>
      <c r="B1120" t="s">
        <v>237</v>
      </c>
      <c r="C1120">
        <v>51</v>
      </c>
      <c r="D1120" t="s">
        <v>65</v>
      </c>
      <c r="E1120" t="s">
        <v>66</v>
      </c>
      <c r="F1120" t="s">
        <v>65</v>
      </c>
      <c r="G1120" t="s">
        <v>39</v>
      </c>
      <c r="H1120" s="8" t="s">
        <v>40</v>
      </c>
      <c r="I1120" s="9">
        <v>12000</v>
      </c>
      <c r="J1120" s="9">
        <v>56082.49</v>
      </c>
      <c r="K1120" s="8" t="s">
        <v>28</v>
      </c>
      <c r="L1120" s="10">
        <v>47105.7</v>
      </c>
      <c r="M1120" s="8" t="s">
        <v>29</v>
      </c>
      <c r="N1120" s="9">
        <v>44224.94</v>
      </c>
      <c r="O1120" s="8" t="s">
        <v>30</v>
      </c>
      <c r="P1120" t="str">
        <f>TEXT(Table1[[#This Row],[Transaction_Date]],"mmm")</f>
        <v>Dec</v>
      </c>
      <c r="Q1120" s="11">
        <v>46005</v>
      </c>
      <c r="R1120" s="8" t="s">
        <v>2544</v>
      </c>
      <c r="S1120" s="8" t="s">
        <v>32</v>
      </c>
      <c r="T1120" s="9">
        <v>754</v>
      </c>
      <c r="U1120" t="s">
        <v>71</v>
      </c>
      <c r="V1120" s="8" t="s">
        <v>62</v>
      </c>
      <c r="W1120"/>
      <c r="X1120"/>
    </row>
    <row r="1121" spans="1:24" x14ac:dyDescent="0.3">
      <c r="A1121" t="s">
        <v>2545</v>
      </c>
      <c r="B1121" t="s">
        <v>234</v>
      </c>
      <c r="C1121">
        <v>27</v>
      </c>
      <c r="D1121" t="s">
        <v>65</v>
      </c>
      <c r="E1121" t="s">
        <v>66</v>
      </c>
      <c r="F1121" t="s">
        <v>65</v>
      </c>
      <c r="G1121" t="s">
        <v>39</v>
      </c>
      <c r="H1121" s="8" t="s">
        <v>40</v>
      </c>
      <c r="I1121" s="9">
        <v>63313.41</v>
      </c>
      <c r="J1121" s="9">
        <v>60714.01</v>
      </c>
      <c r="K1121" s="8" t="s">
        <v>74</v>
      </c>
      <c r="L1121" s="10">
        <v>0</v>
      </c>
      <c r="M1121" s="8" t="s">
        <v>75</v>
      </c>
      <c r="N1121" s="9">
        <v>0</v>
      </c>
      <c r="O1121" s="8" t="s">
        <v>30</v>
      </c>
      <c r="P1121" t="str">
        <f>TEXT(Table1[[#This Row],[Transaction_Date]],"mmm")</f>
        <v>Oct</v>
      </c>
      <c r="Q1121" s="11">
        <v>45955</v>
      </c>
      <c r="R1121" s="8" t="s">
        <v>2546</v>
      </c>
      <c r="S1121" s="8" t="s">
        <v>54</v>
      </c>
      <c r="T1121" s="9">
        <v>3426.11</v>
      </c>
      <c r="U1121" t="s">
        <v>45</v>
      </c>
      <c r="V1121" s="8" t="s">
        <v>62</v>
      </c>
      <c r="W1121"/>
      <c r="X1121"/>
    </row>
    <row r="1122" spans="1:24" x14ac:dyDescent="0.3">
      <c r="A1122" t="s">
        <v>2547</v>
      </c>
      <c r="B1122" t="s">
        <v>415</v>
      </c>
      <c r="C1122">
        <v>18</v>
      </c>
      <c r="D1122" t="s">
        <v>97</v>
      </c>
      <c r="E1122" t="s">
        <v>98</v>
      </c>
      <c r="F1122" t="s">
        <v>97</v>
      </c>
      <c r="G1122" t="s">
        <v>39</v>
      </c>
      <c r="H1122" s="8" t="s">
        <v>51</v>
      </c>
      <c r="I1122" s="9">
        <v>76479.91</v>
      </c>
      <c r="J1122" s="9">
        <v>16379.03</v>
      </c>
      <c r="K1122" s="8" t="s">
        <v>28</v>
      </c>
      <c r="L1122" s="10">
        <v>88768.3</v>
      </c>
      <c r="M1122" s="8" t="s">
        <v>29</v>
      </c>
      <c r="N1122" s="9">
        <v>49805.53</v>
      </c>
      <c r="O1122" s="8" t="s">
        <v>30</v>
      </c>
      <c r="P1122" t="str">
        <f>TEXT(Table1[[#This Row],[Transaction_Date]],"mmm")</f>
        <v>Jul</v>
      </c>
      <c r="Q1122" s="11">
        <v>45865</v>
      </c>
      <c r="R1122" s="8" t="s">
        <v>2548</v>
      </c>
      <c r="S1122" s="8" t="s">
        <v>70</v>
      </c>
      <c r="T1122" s="9">
        <v>1384.55</v>
      </c>
      <c r="U1122" t="s">
        <v>33</v>
      </c>
      <c r="V1122" s="8" t="s">
        <v>62</v>
      </c>
      <c r="W1122"/>
      <c r="X1122"/>
    </row>
    <row r="1123" spans="1:24" x14ac:dyDescent="0.3">
      <c r="A1123" t="s">
        <v>2549</v>
      </c>
      <c r="B1123" t="s">
        <v>1171</v>
      </c>
      <c r="C1123">
        <v>18</v>
      </c>
      <c r="D1123" t="s">
        <v>65</v>
      </c>
      <c r="E1123" t="s">
        <v>66</v>
      </c>
      <c r="F1123" t="s">
        <v>65</v>
      </c>
      <c r="G1123" t="s">
        <v>39</v>
      </c>
      <c r="H1123" s="8" t="s">
        <v>67</v>
      </c>
      <c r="I1123" s="9">
        <v>14780.15</v>
      </c>
      <c r="J1123" s="9">
        <v>10597.57</v>
      </c>
      <c r="K1123" s="8" t="s">
        <v>59</v>
      </c>
      <c r="L1123" s="10">
        <v>92689.94</v>
      </c>
      <c r="M1123" s="8" t="s">
        <v>29</v>
      </c>
      <c r="N1123" s="9">
        <v>50844.4</v>
      </c>
      <c r="O1123" s="8" t="s">
        <v>30</v>
      </c>
      <c r="P1123" t="str">
        <f>TEXT(Table1[[#This Row],[Transaction_Date]],"mmm")</f>
        <v>Nov</v>
      </c>
      <c r="Q1123" s="11">
        <v>45988</v>
      </c>
      <c r="R1123" s="8" t="s">
        <v>2550</v>
      </c>
      <c r="S1123" s="8" t="s">
        <v>32</v>
      </c>
      <c r="T1123" s="9">
        <v>550.61</v>
      </c>
      <c r="U1123" t="s">
        <v>106</v>
      </c>
      <c r="V1123" s="8" t="s">
        <v>34</v>
      </c>
      <c r="W1123"/>
      <c r="X1123"/>
    </row>
    <row r="1124" spans="1:24" x14ac:dyDescent="0.3">
      <c r="A1124" t="s">
        <v>2551</v>
      </c>
      <c r="B1124" t="s">
        <v>969</v>
      </c>
      <c r="C1124">
        <v>29</v>
      </c>
      <c r="D1124" t="s">
        <v>84</v>
      </c>
      <c r="E1124" t="s">
        <v>85</v>
      </c>
      <c r="F1124" t="s">
        <v>84</v>
      </c>
      <c r="G1124" t="s">
        <v>39</v>
      </c>
      <c r="H1124" s="8" t="s">
        <v>40</v>
      </c>
      <c r="I1124" s="9">
        <v>41053.85</v>
      </c>
      <c r="J1124" s="9">
        <v>58605.78</v>
      </c>
      <c r="K1124" s="8" t="s">
        <v>59</v>
      </c>
      <c r="L1124" s="10">
        <v>28299.27</v>
      </c>
      <c r="M1124" s="8" t="s">
        <v>29</v>
      </c>
      <c r="N1124" s="9">
        <v>12714.42</v>
      </c>
      <c r="O1124" s="8" t="s">
        <v>30</v>
      </c>
      <c r="P1124" t="str">
        <f>TEXT(Table1[[#This Row],[Transaction_Date]],"mmm")</f>
        <v>Jan</v>
      </c>
      <c r="Q1124" s="11">
        <v>45660</v>
      </c>
      <c r="R1124" s="8" t="s">
        <v>2552</v>
      </c>
      <c r="S1124" s="8" t="s">
        <v>32</v>
      </c>
      <c r="T1124" s="9">
        <v>936.46</v>
      </c>
      <c r="U1124" t="s">
        <v>45</v>
      </c>
      <c r="V1124" s="8" t="s">
        <v>62</v>
      </c>
      <c r="W1124"/>
      <c r="X1124"/>
    </row>
    <row r="1125" spans="1:24" hidden="1" x14ac:dyDescent="0.3">
      <c r="A1125" t="s">
        <v>2553</v>
      </c>
      <c r="B1125" t="s">
        <v>784</v>
      </c>
      <c r="C1125">
        <v>43</v>
      </c>
      <c r="D1125" t="s">
        <v>84</v>
      </c>
      <c r="E1125" t="s">
        <v>85</v>
      </c>
      <c r="F1125" t="s">
        <v>84</v>
      </c>
      <c r="G1125" t="s">
        <v>26</v>
      </c>
      <c r="H1125" s="8" t="s">
        <v>40</v>
      </c>
      <c r="I1125" s="9">
        <v>50469.24</v>
      </c>
      <c r="J1125" s="9">
        <v>13342.04</v>
      </c>
      <c r="K1125" s="8" t="s">
        <v>59</v>
      </c>
      <c r="L1125" s="10">
        <v>78459.81</v>
      </c>
      <c r="M1125" s="8" t="s">
        <v>29</v>
      </c>
      <c r="N1125" s="9">
        <v>46247.11</v>
      </c>
      <c r="O1125" s="8" t="s">
        <v>30</v>
      </c>
      <c r="P1125" t="str">
        <f>TEXT(Table1[[#This Row],[Transaction_Date]],"mmm")</f>
        <v>Jan</v>
      </c>
      <c r="Q1125" s="11">
        <v>45674</v>
      </c>
      <c r="R1125" s="8" t="s">
        <v>2554</v>
      </c>
      <c r="S1125" s="8" t="s">
        <v>54</v>
      </c>
      <c r="T1125" s="9">
        <v>15022.83</v>
      </c>
      <c r="U1125" t="s">
        <v>106</v>
      </c>
      <c r="V1125" s="8" t="s">
        <v>62</v>
      </c>
      <c r="W1125"/>
      <c r="X1125"/>
    </row>
    <row r="1126" spans="1:24" hidden="1" x14ac:dyDescent="0.3">
      <c r="A1126" t="s">
        <v>2555</v>
      </c>
      <c r="B1126" t="s">
        <v>331</v>
      </c>
      <c r="C1126">
        <v>61</v>
      </c>
      <c r="D1126" t="s">
        <v>57</v>
      </c>
      <c r="E1126" t="s">
        <v>58</v>
      </c>
      <c r="F1126" t="s">
        <v>57</v>
      </c>
      <c r="G1126" t="s">
        <v>80</v>
      </c>
      <c r="H1126" s="8" t="s">
        <v>40</v>
      </c>
      <c r="I1126" s="9">
        <v>24798.6</v>
      </c>
      <c r="J1126" s="9">
        <v>25447.24</v>
      </c>
      <c r="K1126" s="8" t="s">
        <v>74</v>
      </c>
      <c r="L1126" s="10">
        <v>0</v>
      </c>
      <c r="M1126" s="8" t="s">
        <v>75</v>
      </c>
      <c r="N1126" s="9">
        <v>0</v>
      </c>
      <c r="O1126" s="8" t="s">
        <v>30</v>
      </c>
      <c r="P1126" t="str">
        <f>TEXT(Table1[[#This Row],[Transaction_Date]],"mmm")</f>
        <v>Sep</v>
      </c>
      <c r="Q1126" s="11">
        <v>45901</v>
      </c>
      <c r="R1126" s="8" t="s">
        <v>2556</v>
      </c>
      <c r="S1126" s="8" t="s">
        <v>70</v>
      </c>
      <c r="T1126" s="9">
        <v>6322.82</v>
      </c>
      <c r="U1126" t="s">
        <v>61</v>
      </c>
      <c r="V1126" s="8" t="s">
        <v>62</v>
      </c>
      <c r="W1126"/>
      <c r="X1126"/>
    </row>
    <row r="1127" spans="1:24" hidden="1" x14ac:dyDescent="0.3">
      <c r="A1127" t="s">
        <v>2557</v>
      </c>
      <c r="B1127" t="s">
        <v>322</v>
      </c>
      <c r="C1127">
        <v>46</v>
      </c>
      <c r="D1127" t="s">
        <v>92</v>
      </c>
      <c r="E1127" t="s">
        <v>93</v>
      </c>
      <c r="F1127" t="s">
        <v>92</v>
      </c>
      <c r="G1127" t="s">
        <v>26</v>
      </c>
      <c r="H1127" s="8" t="s">
        <v>40</v>
      </c>
      <c r="I1127" s="9">
        <v>82473.11</v>
      </c>
      <c r="J1127" s="9">
        <v>25762.55</v>
      </c>
      <c r="K1127" s="8" t="s">
        <v>59</v>
      </c>
      <c r="L1127" s="10">
        <v>27056.31</v>
      </c>
      <c r="M1127" s="8" t="s">
        <v>42</v>
      </c>
      <c r="N1127" s="9">
        <v>0</v>
      </c>
      <c r="O1127" s="8" t="s">
        <v>30</v>
      </c>
      <c r="P1127" t="str">
        <f>TEXT(Table1[[#This Row],[Transaction_Date]],"mmm")</f>
        <v>Dec</v>
      </c>
      <c r="Q1127" s="11">
        <v>45994</v>
      </c>
      <c r="R1127" s="8" t="s">
        <v>2558</v>
      </c>
      <c r="S1127" s="8" t="s">
        <v>70</v>
      </c>
      <c r="T1127" s="9">
        <v>5891.3</v>
      </c>
      <c r="U1127" t="s">
        <v>77</v>
      </c>
      <c r="V1127" s="8" t="s">
        <v>34</v>
      </c>
      <c r="W1127"/>
      <c r="X1127"/>
    </row>
    <row r="1128" spans="1:24" hidden="1" x14ac:dyDescent="0.3">
      <c r="A1128" t="s">
        <v>2559</v>
      </c>
      <c r="B1128" t="s">
        <v>494</v>
      </c>
      <c r="C1128">
        <v>49</v>
      </c>
      <c r="D1128" t="s">
        <v>24</v>
      </c>
      <c r="E1128" t="s">
        <v>25</v>
      </c>
      <c r="F1128" t="s">
        <v>24</v>
      </c>
      <c r="G1128" t="s">
        <v>51</v>
      </c>
      <c r="H1128" s="8" t="s">
        <v>67</v>
      </c>
      <c r="I1128" s="9">
        <v>25463.13</v>
      </c>
      <c r="J1128" s="9">
        <v>22993.87</v>
      </c>
      <c r="K1128" s="8" t="s">
        <v>74</v>
      </c>
      <c r="L1128" s="10">
        <v>0</v>
      </c>
      <c r="M1128" s="8" t="s">
        <v>75</v>
      </c>
      <c r="N1128" s="9">
        <v>0</v>
      </c>
      <c r="O1128" s="8" t="s">
        <v>30</v>
      </c>
      <c r="P1128" t="str">
        <f>TEXT(Table1[[#This Row],[Transaction_Date]],"mmm")</f>
        <v>Jul</v>
      </c>
      <c r="Q1128" s="11">
        <v>45865</v>
      </c>
      <c r="R1128" s="8" t="s">
        <v>2560</v>
      </c>
      <c r="S1128" s="8" t="s">
        <v>70</v>
      </c>
      <c r="T1128" s="9">
        <v>3753.41</v>
      </c>
      <c r="U1128" t="s">
        <v>33</v>
      </c>
      <c r="V1128" s="8" t="s">
        <v>62</v>
      </c>
      <c r="W1128"/>
      <c r="X1128"/>
    </row>
    <row r="1129" spans="1:24" hidden="1" x14ac:dyDescent="0.3">
      <c r="A1129" t="s">
        <v>2561</v>
      </c>
      <c r="B1129" t="s">
        <v>1531</v>
      </c>
      <c r="C1129">
        <v>25</v>
      </c>
      <c r="D1129" t="s">
        <v>84</v>
      </c>
      <c r="E1129" t="s">
        <v>85</v>
      </c>
      <c r="F1129" t="s">
        <v>84</v>
      </c>
      <c r="G1129" t="s">
        <v>26</v>
      </c>
      <c r="H1129" s="8" t="s">
        <v>27</v>
      </c>
      <c r="I1129" s="9">
        <v>31140.06</v>
      </c>
      <c r="J1129" s="9">
        <v>77870.89</v>
      </c>
      <c r="K1129" s="8" t="s">
        <v>68</v>
      </c>
      <c r="L1129" s="10">
        <v>25000</v>
      </c>
      <c r="M1129" s="8" t="s">
        <v>29</v>
      </c>
      <c r="N1129" s="9">
        <v>5243.31</v>
      </c>
      <c r="O1129" s="8" t="s">
        <v>30</v>
      </c>
      <c r="P1129" t="str">
        <f>TEXT(Table1[[#This Row],[Transaction_Date]],"mmm")</f>
        <v>May</v>
      </c>
      <c r="Q1129" s="11">
        <v>45806</v>
      </c>
      <c r="R1129" s="8" t="s">
        <v>2562</v>
      </c>
      <c r="S1129" s="8" t="s">
        <v>54</v>
      </c>
      <c r="T1129" s="9">
        <v>7370.47</v>
      </c>
      <c r="U1129" t="s">
        <v>77</v>
      </c>
      <c r="V1129" s="8" t="s">
        <v>62</v>
      </c>
      <c r="W1129"/>
      <c r="X1129"/>
    </row>
    <row r="1130" spans="1:24" x14ac:dyDescent="0.3">
      <c r="A1130" t="s">
        <v>2563</v>
      </c>
      <c r="B1130" t="s">
        <v>638</v>
      </c>
      <c r="C1130">
        <v>23</v>
      </c>
      <c r="D1130" t="s">
        <v>37</v>
      </c>
      <c r="E1130" t="s">
        <v>38</v>
      </c>
      <c r="F1130" t="s">
        <v>37</v>
      </c>
      <c r="G1130" t="s">
        <v>39</v>
      </c>
      <c r="H1130" s="8" t="s">
        <v>27</v>
      </c>
      <c r="I1130" s="9">
        <v>55592.06</v>
      </c>
      <c r="J1130" s="9">
        <v>27358.18</v>
      </c>
      <c r="K1130" s="8" t="s">
        <v>74</v>
      </c>
      <c r="L1130" s="10">
        <v>0</v>
      </c>
      <c r="M1130" s="8" t="s">
        <v>75</v>
      </c>
      <c r="N1130" s="9">
        <v>0</v>
      </c>
      <c r="O1130" s="8" t="s">
        <v>30</v>
      </c>
      <c r="P1130" t="str">
        <f>TEXT(Table1[[#This Row],[Transaction_Date]],"mmm")</f>
        <v>Apr</v>
      </c>
      <c r="Q1130" s="11">
        <v>45773</v>
      </c>
      <c r="R1130" s="8" t="s">
        <v>2564</v>
      </c>
      <c r="S1130" s="8" t="s">
        <v>54</v>
      </c>
      <c r="T1130" s="9">
        <v>4908.3</v>
      </c>
      <c r="U1130" t="s">
        <v>33</v>
      </c>
      <c r="V1130" s="8" t="s">
        <v>34</v>
      </c>
      <c r="W1130"/>
      <c r="X1130"/>
    </row>
    <row r="1131" spans="1:24" hidden="1" x14ac:dyDescent="0.3">
      <c r="A1131" t="s">
        <v>2565</v>
      </c>
      <c r="B1131" t="s">
        <v>191</v>
      </c>
      <c r="C1131">
        <v>41</v>
      </c>
      <c r="D1131" t="s">
        <v>92</v>
      </c>
      <c r="E1131" t="s">
        <v>93</v>
      </c>
      <c r="F1131" t="s">
        <v>92</v>
      </c>
      <c r="G1131" t="s">
        <v>26</v>
      </c>
      <c r="H1131" s="8" t="s">
        <v>67</v>
      </c>
      <c r="I1131" s="9">
        <v>28639.42</v>
      </c>
      <c r="J1131" s="9">
        <v>16498.79</v>
      </c>
      <c r="K1131" s="8" t="s">
        <v>28</v>
      </c>
      <c r="L1131" s="10">
        <v>40767.07</v>
      </c>
      <c r="M1131" s="8" t="s">
        <v>29</v>
      </c>
      <c r="N1131" s="9">
        <v>16265.78</v>
      </c>
      <c r="O1131" s="8" t="s">
        <v>30</v>
      </c>
      <c r="P1131" t="str">
        <f>TEXT(Table1[[#This Row],[Transaction_Date]],"mmm")</f>
        <v>Apr</v>
      </c>
      <c r="Q1131" s="11">
        <v>45769</v>
      </c>
      <c r="R1131" s="8" t="s">
        <v>2566</v>
      </c>
      <c r="S1131" s="8" t="s">
        <v>32</v>
      </c>
      <c r="T1131" s="9">
        <v>3822.55</v>
      </c>
      <c r="U1131" t="s">
        <v>77</v>
      </c>
      <c r="V1131" s="8" t="s">
        <v>62</v>
      </c>
      <c r="W1131"/>
      <c r="X1131"/>
    </row>
    <row r="1132" spans="1:24" x14ac:dyDescent="0.3">
      <c r="A1132" t="s">
        <v>2567</v>
      </c>
      <c r="B1132" t="s">
        <v>262</v>
      </c>
      <c r="C1132">
        <v>32</v>
      </c>
      <c r="D1132" t="s">
        <v>65</v>
      </c>
      <c r="E1132" t="s">
        <v>66</v>
      </c>
      <c r="F1132" t="s">
        <v>65</v>
      </c>
      <c r="G1132" t="s">
        <v>39</v>
      </c>
      <c r="H1132" s="8" t="s">
        <v>40</v>
      </c>
      <c r="I1132" s="9">
        <v>79397.570000000007</v>
      </c>
      <c r="J1132" s="9">
        <v>13987.67</v>
      </c>
      <c r="K1132" s="8" t="s">
        <v>74</v>
      </c>
      <c r="L1132" s="10">
        <v>0</v>
      </c>
      <c r="M1132" s="8" t="s">
        <v>75</v>
      </c>
      <c r="N1132" s="9">
        <v>0</v>
      </c>
      <c r="O1132" s="8" t="s">
        <v>30</v>
      </c>
      <c r="P1132" t="str">
        <f>TEXT(Table1[[#This Row],[Transaction_Date]],"mmm")</f>
        <v>Jan</v>
      </c>
      <c r="Q1132" s="11">
        <v>45682</v>
      </c>
      <c r="R1132" s="8" t="s">
        <v>2568</v>
      </c>
      <c r="S1132" s="8" t="s">
        <v>70</v>
      </c>
      <c r="T1132" s="9">
        <v>4400.3599999999997</v>
      </c>
      <c r="U1132" t="s">
        <v>77</v>
      </c>
      <c r="V1132" s="8" t="s">
        <v>62</v>
      </c>
      <c r="W1132"/>
      <c r="X1132"/>
    </row>
    <row r="1133" spans="1:24" x14ac:dyDescent="0.3">
      <c r="A1133" t="s">
        <v>2569</v>
      </c>
      <c r="B1133" t="s">
        <v>507</v>
      </c>
      <c r="C1133">
        <v>32</v>
      </c>
      <c r="D1133" t="s">
        <v>65</v>
      </c>
      <c r="E1133" t="s">
        <v>66</v>
      </c>
      <c r="F1133" t="s">
        <v>65</v>
      </c>
      <c r="G1133" t="s">
        <v>39</v>
      </c>
      <c r="H1133" s="8" t="s">
        <v>40</v>
      </c>
      <c r="I1133" s="9">
        <v>38025.79</v>
      </c>
      <c r="J1133" s="9">
        <v>72984.17</v>
      </c>
      <c r="K1133" s="8" t="s">
        <v>41</v>
      </c>
      <c r="L1133" s="10">
        <v>44912.78</v>
      </c>
      <c r="M1133" s="8" t="s">
        <v>29</v>
      </c>
      <c r="N1133" s="9">
        <v>36956.239999999998</v>
      </c>
      <c r="O1133" s="8" t="s">
        <v>30</v>
      </c>
      <c r="P1133" t="str">
        <f>TEXT(Table1[[#This Row],[Transaction_Date]],"mmm")</f>
        <v>Apr</v>
      </c>
      <c r="Q1133" s="11">
        <v>45748</v>
      </c>
      <c r="R1133" s="8" t="s">
        <v>2570</v>
      </c>
      <c r="S1133" s="8" t="s">
        <v>32</v>
      </c>
      <c r="T1133" s="9">
        <v>2078.1999999999998</v>
      </c>
      <c r="U1133" t="s">
        <v>61</v>
      </c>
      <c r="V1133" s="8" t="s">
        <v>62</v>
      </c>
      <c r="W1133"/>
      <c r="X1133"/>
    </row>
    <row r="1134" spans="1:24" hidden="1" x14ac:dyDescent="0.3">
      <c r="A1134" t="s">
        <v>2571</v>
      </c>
      <c r="B1134" t="s">
        <v>638</v>
      </c>
      <c r="C1134">
        <v>30</v>
      </c>
      <c r="D1134" t="s">
        <v>24</v>
      </c>
      <c r="E1134" t="s">
        <v>25</v>
      </c>
      <c r="F1134" t="s">
        <v>24</v>
      </c>
      <c r="G1134" t="s">
        <v>51</v>
      </c>
      <c r="H1134" s="8" t="s">
        <v>27</v>
      </c>
      <c r="I1134" s="9">
        <v>63034.35</v>
      </c>
      <c r="J1134" s="9">
        <v>12662.12</v>
      </c>
      <c r="K1134" s="8" t="s">
        <v>41</v>
      </c>
      <c r="L1134" s="10">
        <v>90752.97</v>
      </c>
      <c r="M1134" s="8" t="s">
        <v>29</v>
      </c>
      <c r="N1134" s="9">
        <v>49587.27</v>
      </c>
      <c r="O1134" s="8" t="s">
        <v>30</v>
      </c>
      <c r="P1134" t="str">
        <f>TEXT(Table1[[#This Row],[Transaction_Date]],"mmm")</f>
        <v>Aug</v>
      </c>
      <c r="Q1134" s="11">
        <v>45872</v>
      </c>
      <c r="R1134" s="8" t="s">
        <v>2572</v>
      </c>
      <c r="S1134" s="8" t="s">
        <v>54</v>
      </c>
      <c r="T1134" s="9">
        <v>1741.49</v>
      </c>
      <c r="U1134" t="s">
        <v>106</v>
      </c>
      <c r="V1134" s="8" t="s">
        <v>62</v>
      </c>
      <c r="W1134"/>
      <c r="X1134"/>
    </row>
    <row r="1135" spans="1:24" hidden="1" x14ac:dyDescent="0.3">
      <c r="A1135" t="s">
        <v>2573</v>
      </c>
      <c r="B1135" t="s">
        <v>111</v>
      </c>
      <c r="C1135">
        <v>36</v>
      </c>
      <c r="D1135" t="s">
        <v>24</v>
      </c>
      <c r="E1135" t="s">
        <v>25</v>
      </c>
      <c r="F1135" t="s">
        <v>24</v>
      </c>
      <c r="G1135" t="s">
        <v>26</v>
      </c>
      <c r="H1135" s="8" t="s">
        <v>40</v>
      </c>
      <c r="I1135" s="9">
        <v>83598.22</v>
      </c>
      <c r="J1135" s="9">
        <v>11835</v>
      </c>
      <c r="K1135" s="8" t="s">
        <v>28</v>
      </c>
      <c r="L1135" s="10">
        <v>80514.399999999994</v>
      </c>
      <c r="M1135" s="8" t="s">
        <v>42</v>
      </c>
      <c r="N1135" s="9">
        <v>0</v>
      </c>
      <c r="O1135" s="8" t="s">
        <v>30</v>
      </c>
      <c r="P1135" t="str">
        <f>TEXT(Table1[[#This Row],[Transaction_Date]],"mmm")</f>
        <v>Jun</v>
      </c>
      <c r="Q1135" s="11">
        <v>45818</v>
      </c>
      <c r="R1135" s="8" t="s">
        <v>2574</v>
      </c>
      <c r="S1135" s="8" t="s">
        <v>70</v>
      </c>
      <c r="T1135" s="9">
        <v>652.12</v>
      </c>
      <c r="U1135" t="s">
        <v>106</v>
      </c>
      <c r="V1135" s="8" t="s">
        <v>62</v>
      </c>
      <c r="W1135"/>
      <c r="X1135"/>
    </row>
    <row r="1136" spans="1:24" hidden="1" x14ac:dyDescent="0.3">
      <c r="A1136" t="s">
        <v>2575</v>
      </c>
      <c r="B1136" t="s">
        <v>36</v>
      </c>
      <c r="C1136">
        <v>18</v>
      </c>
      <c r="D1136" t="s">
        <v>24</v>
      </c>
      <c r="E1136" t="s">
        <v>25</v>
      </c>
      <c r="F1136" t="s">
        <v>24</v>
      </c>
      <c r="G1136" t="s">
        <v>51</v>
      </c>
      <c r="H1136" s="8" t="s">
        <v>67</v>
      </c>
      <c r="I1136" s="9">
        <v>44922.12</v>
      </c>
      <c r="J1136" s="9">
        <v>16018.77</v>
      </c>
      <c r="K1136" s="8" t="s">
        <v>74</v>
      </c>
      <c r="L1136" s="10">
        <v>0</v>
      </c>
      <c r="M1136" s="8" t="s">
        <v>75</v>
      </c>
      <c r="N1136" s="9">
        <v>0</v>
      </c>
      <c r="O1136" s="8" t="s">
        <v>30</v>
      </c>
      <c r="P1136" t="str">
        <f>TEXT(Table1[[#This Row],[Transaction_Date]],"mmm")</f>
        <v>Jul</v>
      </c>
      <c r="Q1136" s="11">
        <v>45860</v>
      </c>
      <c r="R1136" s="8" t="s">
        <v>2576</v>
      </c>
      <c r="S1136" s="8" t="s">
        <v>70</v>
      </c>
      <c r="T1136" s="9">
        <v>3310.14</v>
      </c>
      <c r="U1136" t="s">
        <v>33</v>
      </c>
      <c r="V1136" s="8" t="s">
        <v>46</v>
      </c>
      <c r="W1136"/>
      <c r="X1136"/>
    </row>
    <row r="1137" spans="1:24" x14ac:dyDescent="0.3">
      <c r="A1137" t="s">
        <v>2577</v>
      </c>
      <c r="B1137" t="s">
        <v>432</v>
      </c>
      <c r="C1137">
        <v>44</v>
      </c>
      <c r="D1137" t="s">
        <v>65</v>
      </c>
      <c r="E1137" t="s">
        <v>66</v>
      </c>
      <c r="F1137" t="s">
        <v>65</v>
      </c>
      <c r="G1137" t="s">
        <v>39</v>
      </c>
      <c r="H1137" s="8" t="s">
        <v>27</v>
      </c>
      <c r="I1137" s="9">
        <v>59852.08</v>
      </c>
      <c r="J1137" s="9">
        <v>58830.3</v>
      </c>
      <c r="K1137" s="8" t="s">
        <v>74</v>
      </c>
      <c r="L1137" s="10">
        <v>0</v>
      </c>
      <c r="M1137" s="8" t="s">
        <v>75</v>
      </c>
      <c r="N1137" s="9">
        <v>0</v>
      </c>
      <c r="O1137" s="8" t="s">
        <v>30</v>
      </c>
      <c r="P1137" t="str">
        <f>TEXT(Table1[[#This Row],[Transaction_Date]],"mmm")</f>
        <v>Jan</v>
      </c>
      <c r="Q1137" s="11">
        <v>45686</v>
      </c>
      <c r="R1137" s="8" t="s">
        <v>2578</v>
      </c>
      <c r="S1137" s="8" t="s">
        <v>32</v>
      </c>
      <c r="T1137" s="9">
        <v>1012.82</v>
      </c>
      <c r="U1137" t="s">
        <v>61</v>
      </c>
      <c r="V1137" s="8" t="s">
        <v>46</v>
      </c>
      <c r="W1137"/>
      <c r="X1137"/>
    </row>
    <row r="1138" spans="1:24" hidden="1" x14ac:dyDescent="0.3">
      <c r="A1138" t="s">
        <v>2579</v>
      </c>
      <c r="B1138" t="s">
        <v>111</v>
      </c>
      <c r="C1138">
        <v>47</v>
      </c>
      <c r="D1138" t="s">
        <v>49</v>
      </c>
      <c r="E1138" t="s">
        <v>50</v>
      </c>
      <c r="F1138" t="s">
        <v>49</v>
      </c>
      <c r="G1138" t="s">
        <v>51</v>
      </c>
      <c r="H1138" s="8" t="s">
        <v>67</v>
      </c>
      <c r="I1138" s="9">
        <v>43911.01</v>
      </c>
      <c r="J1138" s="9">
        <v>18910.62</v>
      </c>
      <c r="K1138" s="8" t="s">
        <v>74</v>
      </c>
      <c r="L1138" s="10">
        <v>0</v>
      </c>
      <c r="M1138" s="8" t="s">
        <v>75</v>
      </c>
      <c r="N1138" s="9">
        <v>0</v>
      </c>
      <c r="O1138" s="8" t="s">
        <v>30</v>
      </c>
      <c r="P1138" t="str">
        <f>TEXT(Table1[[#This Row],[Transaction_Date]],"mmm")</f>
        <v>Dec</v>
      </c>
      <c r="Q1138" s="11">
        <v>45993</v>
      </c>
      <c r="R1138" s="8" t="s">
        <v>2580</v>
      </c>
      <c r="S1138" s="8" t="s">
        <v>44</v>
      </c>
      <c r="T1138" s="9">
        <v>5601.93</v>
      </c>
      <c r="U1138" t="s">
        <v>71</v>
      </c>
      <c r="V1138" s="8" t="s">
        <v>34</v>
      </c>
      <c r="W1138"/>
      <c r="X1138"/>
    </row>
    <row r="1139" spans="1:24" hidden="1" x14ac:dyDescent="0.3">
      <c r="A1139" t="s">
        <v>2581</v>
      </c>
      <c r="B1139" t="s">
        <v>1305</v>
      </c>
      <c r="C1139">
        <v>26</v>
      </c>
      <c r="D1139" t="s">
        <v>24</v>
      </c>
      <c r="E1139" t="s">
        <v>25</v>
      </c>
      <c r="F1139" t="s">
        <v>24</v>
      </c>
      <c r="G1139" t="s">
        <v>26</v>
      </c>
      <c r="H1139" s="8" t="s">
        <v>27</v>
      </c>
      <c r="I1139" s="9">
        <v>27975.68</v>
      </c>
      <c r="J1139" s="9">
        <v>29977.73</v>
      </c>
      <c r="K1139" s="8" t="s">
        <v>68</v>
      </c>
      <c r="L1139" s="10">
        <v>62440.87</v>
      </c>
      <c r="M1139" s="8" t="s">
        <v>29</v>
      </c>
      <c r="N1139" s="9">
        <v>56633</v>
      </c>
      <c r="O1139" s="8" t="s">
        <v>30</v>
      </c>
      <c r="P1139" t="str">
        <f>TEXT(Table1[[#This Row],[Transaction_Date]],"mmm")</f>
        <v>Sep</v>
      </c>
      <c r="Q1139" s="11">
        <v>45916</v>
      </c>
      <c r="R1139" s="8" t="s">
        <v>2582</v>
      </c>
      <c r="S1139" s="8" t="s">
        <v>70</v>
      </c>
      <c r="T1139" s="9">
        <v>5619.97</v>
      </c>
      <c r="U1139" t="s">
        <v>71</v>
      </c>
      <c r="V1139" s="8" t="s">
        <v>62</v>
      </c>
      <c r="W1139"/>
      <c r="X1139"/>
    </row>
    <row r="1140" spans="1:24" x14ac:dyDescent="0.3">
      <c r="A1140" t="s">
        <v>2583</v>
      </c>
      <c r="B1140" t="s">
        <v>1283</v>
      </c>
      <c r="C1140">
        <v>42</v>
      </c>
      <c r="D1140" t="s">
        <v>37</v>
      </c>
      <c r="E1140" t="s">
        <v>38</v>
      </c>
      <c r="F1140" t="s">
        <v>37</v>
      </c>
      <c r="G1140" t="s">
        <v>39</v>
      </c>
      <c r="H1140" s="8" t="s">
        <v>40</v>
      </c>
      <c r="I1140" s="9">
        <v>85743.3</v>
      </c>
      <c r="J1140" s="9">
        <v>19053.080000000002</v>
      </c>
      <c r="K1140" s="8" t="s">
        <v>68</v>
      </c>
      <c r="L1140" s="10">
        <v>45248.4</v>
      </c>
      <c r="M1140" s="8" t="s">
        <v>29</v>
      </c>
      <c r="N1140" s="9">
        <v>37965.160000000003</v>
      </c>
      <c r="O1140" s="8" t="s">
        <v>30</v>
      </c>
      <c r="P1140" t="str">
        <f>TEXT(Table1[[#This Row],[Transaction_Date]],"mmm")</f>
        <v>Mar</v>
      </c>
      <c r="Q1140" s="11">
        <v>45732</v>
      </c>
      <c r="R1140" s="8" t="s">
        <v>2584</v>
      </c>
      <c r="S1140" s="8" t="s">
        <v>70</v>
      </c>
      <c r="T1140" s="9">
        <v>1260.5999999999999</v>
      </c>
      <c r="U1140" t="s">
        <v>77</v>
      </c>
      <c r="V1140" s="8" t="s">
        <v>62</v>
      </c>
      <c r="W1140"/>
      <c r="X1140"/>
    </row>
    <row r="1141" spans="1:24" hidden="1" x14ac:dyDescent="0.3">
      <c r="A1141" t="s">
        <v>2585</v>
      </c>
      <c r="B1141" t="s">
        <v>734</v>
      </c>
      <c r="C1141">
        <v>31</v>
      </c>
      <c r="D1141" t="s">
        <v>97</v>
      </c>
      <c r="E1141" t="s">
        <v>98</v>
      </c>
      <c r="F1141" t="s">
        <v>97</v>
      </c>
      <c r="G1141" t="s">
        <v>26</v>
      </c>
      <c r="H1141" s="8" t="s">
        <v>40</v>
      </c>
      <c r="I1141" s="9">
        <v>27646.03</v>
      </c>
      <c r="J1141" s="9">
        <v>77503.97</v>
      </c>
      <c r="K1141" s="8" t="s">
        <v>28</v>
      </c>
      <c r="L1141" s="10">
        <v>27170.799999999999</v>
      </c>
      <c r="M1141" s="8" t="s">
        <v>29</v>
      </c>
      <c r="N1141" s="9">
        <v>5904.68</v>
      </c>
      <c r="O1141" s="8" t="s">
        <v>30</v>
      </c>
      <c r="P1141" t="str">
        <f>TEXT(Table1[[#This Row],[Transaction_Date]],"mmm")</f>
        <v>Dec</v>
      </c>
      <c r="Q1141" s="11">
        <v>45994</v>
      </c>
      <c r="R1141" s="8" t="s">
        <v>2586</v>
      </c>
      <c r="S1141" s="8" t="s">
        <v>32</v>
      </c>
      <c r="T1141" s="9">
        <v>804.76</v>
      </c>
      <c r="U1141" t="s">
        <v>71</v>
      </c>
      <c r="V1141" s="8" t="s">
        <v>62</v>
      </c>
      <c r="W1141"/>
      <c r="X1141"/>
    </row>
    <row r="1142" spans="1:24" x14ac:dyDescent="0.3">
      <c r="A1142" t="s">
        <v>2587</v>
      </c>
      <c r="B1142" t="s">
        <v>365</v>
      </c>
      <c r="C1142">
        <v>49</v>
      </c>
      <c r="D1142" t="s">
        <v>24</v>
      </c>
      <c r="E1142" t="s">
        <v>25</v>
      </c>
      <c r="F1142" t="s">
        <v>24</v>
      </c>
      <c r="G1142" t="s">
        <v>39</v>
      </c>
      <c r="H1142" s="8" t="s">
        <v>27</v>
      </c>
      <c r="I1142" s="9">
        <v>34924.120000000003</v>
      </c>
      <c r="J1142" s="9">
        <v>64042.09</v>
      </c>
      <c r="K1142" s="8" t="s">
        <v>59</v>
      </c>
      <c r="L1142" s="10">
        <v>29928.91</v>
      </c>
      <c r="M1142" s="8" t="s">
        <v>29</v>
      </c>
      <c r="N1142" s="9">
        <v>20368.12</v>
      </c>
      <c r="O1142" s="8" t="s">
        <v>30</v>
      </c>
      <c r="P1142" t="str">
        <f>TEXT(Table1[[#This Row],[Transaction_Date]],"mmm")</f>
        <v>Sep</v>
      </c>
      <c r="Q1142" s="11">
        <v>45925</v>
      </c>
      <c r="R1142" s="8" t="s">
        <v>2588</v>
      </c>
      <c r="S1142" s="8" t="s">
        <v>32</v>
      </c>
      <c r="T1142" s="9">
        <v>2739.9</v>
      </c>
      <c r="U1142" t="s">
        <v>45</v>
      </c>
      <c r="V1142" s="8" t="s">
        <v>34</v>
      </c>
      <c r="W1142"/>
      <c r="X1142"/>
    </row>
    <row r="1143" spans="1:24" x14ac:dyDescent="0.3">
      <c r="A1143" t="s">
        <v>2589</v>
      </c>
      <c r="B1143" t="s">
        <v>173</v>
      </c>
      <c r="C1143">
        <v>35</v>
      </c>
      <c r="D1143" t="s">
        <v>92</v>
      </c>
      <c r="E1143" t="s">
        <v>93</v>
      </c>
      <c r="F1143" t="s">
        <v>92</v>
      </c>
      <c r="G1143" t="s">
        <v>39</v>
      </c>
      <c r="H1143" s="8" t="s">
        <v>40</v>
      </c>
      <c r="I1143" s="9">
        <v>83463.990000000005</v>
      </c>
      <c r="J1143" s="9">
        <v>32038.42</v>
      </c>
      <c r="K1143" s="8" t="s">
        <v>68</v>
      </c>
      <c r="L1143" s="10">
        <v>33469.440000000002</v>
      </c>
      <c r="M1143" s="8" t="s">
        <v>29</v>
      </c>
      <c r="N1143" s="9">
        <v>20935.3</v>
      </c>
      <c r="O1143" s="8" t="s">
        <v>30</v>
      </c>
      <c r="P1143" t="str">
        <f>TEXT(Table1[[#This Row],[Transaction_Date]],"mmm")</f>
        <v>Mar</v>
      </c>
      <c r="Q1143" s="11">
        <v>45740</v>
      </c>
      <c r="R1143" s="8" t="s">
        <v>2590</v>
      </c>
      <c r="S1143" s="8" t="s">
        <v>54</v>
      </c>
      <c r="T1143" s="9">
        <v>2281.41</v>
      </c>
      <c r="U1143" t="s">
        <v>71</v>
      </c>
      <c r="V1143" s="8" t="s">
        <v>62</v>
      </c>
      <c r="W1143"/>
      <c r="X1143"/>
    </row>
    <row r="1144" spans="1:24" hidden="1" x14ac:dyDescent="0.3">
      <c r="A1144" t="s">
        <v>2591</v>
      </c>
      <c r="B1144" t="s">
        <v>907</v>
      </c>
      <c r="C1144">
        <v>33</v>
      </c>
      <c r="D1144" t="s">
        <v>475</v>
      </c>
      <c r="E1144" t="s">
        <v>25</v>
      </c>
      <c r="F1144" t="s">
        <v>24</v>
      </c>
      <c r="G1144" t="s">
        <v>51</v>
      </c>
      <c r="H1144" s="8" t="s">
        <v>40</v>
      </c>
      <c r="I1144" s="9">
        <v>46730.03</v>
      </c>
      <c r="J1144" s="9">
        <v>17890.3</v>
      </c>
      <c r="K1144" s="8" t="s">
        <v>68</v>
      </c>
      <c r="L1144" s="10">
        <v>107650.93</v>
      </c>
      <c r="M1144" s="8" t="s">
        <v>29</v>
      </c>
      <c r="N1144" s="9">
        <v>66181.38</v>
      </c>
      <c r="O1144" s="8" t="s">
        <v>30</v>
      </c>
      <c r="P1144" t="str">
        <f>TEXT(Table1[[#This Row],[Transaction_Date]],"mmm")</f>
        <v>Jan</v>
      </c>
      <c r="Q1144" s="11">
        <v>45659</v>
      </c>
      <c r="R1144" s="8" t="s">
        <v>2592</v>
      </c>
      <c r="S1144" s="8" t="s">
        <v>54</v>
      </c>
      <c r="T1144" s="9">
        <v>4902.9399999999996</v>
      </c>
      <c r="U1144" t="s">
        <v>33</v>
      </c>
      <c r="V1144" s="8" t="s">
        <v>62</v>
      </c>
      <c r="W1144"/>
      <c r="X1144"/>
    </row>
    <row r="1145" spans="1:24" x14ac:dyDescent="0.3">
      <c r="A1145" t="s">
        <v>2593</v>
      </c>
      <c r="B1145" t="s">
        <v>168</v>
      </c>
      <c r="C1145">
        <v>20</v>
      </c>
      <c r="D1145" t="s">
        <v>57</v>
      </c>
      <c r="E1145" t="s">
        <v>58</v>
      </c>
      <c r="F1145" t="s">
        <v>57</v>
      </c>
      <c r="G1145" t="s">
        <v>39</v>
      </c>
      <c r="H1145" s="8" t="s">
        <v>27</v>
      </c>
      <c r="I1145" s="9">
        <v>53431.78</v>
      </c>
      <c r="J1145" s="9">
        <v>20673.349999999999</v>
      </c>
      <c r="K1145" s="8" t="s">
        <v>74</v>
      </c>
      <c r="L1145" s="10">
        <v>0</v>
      </c>
      <c r="M1145" s="8" t="s">
        <v>75</v>
      </c>
      <c r="N1145" s="9">
        <v>0</v>
      </c>
      <c r="O1145" s="8" t="s">
        <v>30</v>
      </c>
      <c r="P1145" t="str">
        <f>TEXT(Table1[[#This Row],[Transaction_Date]],"mmm")</f>
        <v>Mar</v>
      </c>
      <c r="Q1145" s="11">
        <v>45717</v>
      </c>
      <c r="R1145" s="8" t="s">
        <v>2594</v>
      </c>
      <c r="S1145" s="8" t="s">
        <v>70</v>
      </c>
      <c r="T1145" s="9">
        <v>4307.92</v>
      </c>
      <c r="U1145" t="s">
        <v>45</v>
      </c>
      <c r="V1145" s="8" t="s">
        <v>46</v>
      </c>
      <c r="W1145"/>
      <c r="X1145"/>
    </row>
    <row r="1146" spans="1:24" hidden="1" x14ac:dyDescent="0.3">
      <c r="A1146" t="s">
        <v>2595</v>
      </c>
      <c r="B1146" t="s">
        <v>135</v>
      </c>
      <c r="C1146">
        <v>45</v>
      </c>
      <c r="D1146" t="s">
        <v>37</v>
      </c>
      <c r="E1146" t="s">
        <v>38</v>
      </c>
      <c r="F1146" t="s">
        <v>37</v>
      </c>
      <c r="G1146" t="s">
        <v>80</v>
      </c>
      <c r="H1146" s="8" t="s">
        <v>40</v>
      </c>
      <c r="I1146" s="9">
        <v>44583.96</v>
      </c>
      <c r="J1146" s="9">
        <v>118579.85</v>
      </c>
      <c r="K1146" s="8" t="s">
        <v>68</v>
      </c>
      <c r="L1146" s="10">
        <v>26622.32</v>
      </c>
      <c r="M1146" s="8" t="s">
        <v>29</v>
      </c>
      <c r="N1146" s="9">
        <v>9996.61</v>
      </c>
      <c r="O1146" s="8" t="s">
        <v>30</v>
      </c>
      <c r="P1146" t="str">
        <f>TEXT(Table1[[#This Row],[Transaction_Date]],"mmm")</f>
        <v>Feb</v>
      </c>
      <c r="Q1146" s="11">
        <v>45697</v>
      </c>
      <c r="R1146" s="8" t="s">
        <v>2596</v>
      </c>
      <c r="S1146" s="8" t="s">
        <v>54</v>
      </c>
      <c r="T1146" s="9">
        <v>3662.09</v>
      </c>
      <c r="U1146" t="s">
        <v>77</v>
      </c>
      <c r="V1146" s="8" t="s">
        <v>34</v>
      </c>
      <c r="W1146"/>
      <c r="X1146"/>
    </row>
    <row r="1147" spans="1:24" x14ac:dyDescent="0.3">
      <c r="A1147" t="s">
        <v>2597</v>
      </c>
      <c r="B1147" t="s">
        <v>212</v>
      </c>
      <c r="C1147">
        <v>47</v>
      </c>
      <c r="D1147" t="s">
        <v>49</v>
      </c>
      <c r="E1147" t="s">
        <v>50</v>
      </c>
      <c r="F1147" t="s">
        <v>49</v>
      </c>
      <c r="G1147" t="s">
        <v>39</v>
      </c>
      <c r="H1147" s="8" t="s">
        <v>40</v>
      </c>
      <c r="I1147" s="9">
        <v>18503.97</v>
      </c>
      <c r="J1147" s="9">
        <v>20895.740000000002</v>
      </c>
      <c r="K1147" s="8" t="s">
        <v>74</v>
      </c>
      <c r="L1147" s="10">
        <v>0</v>
      </c>
      <c r="M1147" s="8" t="s">
        <v>75</v>
      </c>
      <c r="N1147" s="9">
        <v>0</v>
      </c>
      <c r="O1147" s="8" t="s">
        <v>30</v>
      </c>
      <c r="P1147" t="str">
        <f>TEXT(Table1[[#This Row],[Transaction_Date]],"mmm")</f>
        <v>Sep</v>
      </c>
      <c r="Q1147" s="11">
        <v>45917</v>
      </c>
      <c r="R1147" s="8" t="s">
        <v>2598</v>
      </c>
      <c r="S1147" s="8" t="s">
        <v>70</v>
      </c>
      <c r="T1147" s="9">
        <v>4047.27</v>
      </c>
      <c r="U1147" t="s">
        <v>33</v>
      </c>
      <c r="V1147" s="8" t="s">
        <v>34</v>
      </c>
      <c r="W1147"/>
      <c r="X1147"/>
    </row>
    <row r="1148" spans="1:24" hidden="1" x14ac:dyDescent="0.3">
      <c r="A1148" t="s">
        <v>2599</v>
      </c>
      <c r="B1148" t="s">
        <v>807</v>
      </c>
      <c r="C1148">
        <v>48</v>
      </c>
      <c r="D1148" t="s">
        <v>97</v>
      </c>
      <c r="E1148" t="s">
        <v>98</v>
      </c>
      <c r="F1148" t="s">
        <v>97</v>
      </c>
      <c r="G1148" t="s">
        <v>51</v>
      </c>
      <c r="H1148" s="8" t="s">
        <v>27</v>
      </c>
      <c r="I1148" s="9">
        <v>65286.65</v>
      </c>
      <c r="J1148" s="9">
        <v>104324.52</v>
      </c>
      <c r="K1148" s="8" t="s">
        <v>74</v>
      </c>
      <c r="L1148" s="10">
        <v>0</v>
      </c>
      <c r="M1148" s="8" t="s">
        <v>75</v>
      </c>
      <c r="N1148" s="9">
        <v>0</v>
      </c>
      <c r="O1148" s="8" t="s">
        <v>30</v>
      </c>
      <c r="P1148" t="str">
        <f>TEXT(Table1[[#This Row],[Transaction_Date]],"mmm")</f>
        <v>Aug</v>
      </c>
      <c r="Q1148" s="11">
        <v>45895</v>
      </c>
      <c r="R1148" s="8" t="s">
        <v>2600</v>
      </c>
      <c r="S1148" s="8" t="s">
        <v>54</v>
      </c>
      <c r="T1148" s="9">
        <v>4926.3999999999996</v>
      </c>
      <c r="U1148" t="s">
        <v>61</v>
      </c>
      <c r="V1148" s="8" t="s">
        <v>62</v>
      </c>
      <c r="W1148"/>
      <c r="X1148"/>
    </row>
    <row r="1149" spans="1:24" x14ac:dyDescent="0.3">
      <c r="A1149" t="s">
        <v>2601</v>
      </c>
      <c r="B1149" t="s">
        <v>847</v>
      </c>
      <c r="C1149">
        <v>44</v>
      </c>
      <c r="D1149" t="s">
        <v>97</v>
      </c>
      <c r="E1149" t="s">
        <v>98</v>
      </c>
      <c r="F1149" t="s">
        <v>97</v>
      </c>
      <c r="G1149" t="s">
        <v>39</v>
      </c>
      <c r="H1149" s="8" t="s">
        <v>27</v>
      </c>
      <c r="I1149" s="9">
        <v>93392.27</v>
      </c>
      <c r="J1149" s="9">
        <v>9674.93</v>
      </c>
      <c r="K1149" s="8" t="s">
        <v>52</v>
      </c>
      <c r="L1149" s="10">
        <v>28873.65</v>
      </c>
      <c r="M1149" s="8" t="s">
        <v>29</v>
      </c>
      <c r="N1149" s="9">
        <v>8003.31</v>
      </c>
      <c r="O1149" s="8" t="s">
        <v>30</v>
      </c>
      <c r="P1149" t="str">
        <f>TEXT(Table1[[#This Row],[Transaction_Date]],"mmm")</f>
        <v>Apr</v>
      </c>
      <c r="Q1149" s="11">
        <v>45748</v>
      </c>
      <c r="R1149" s="8" t="s">
        <v>2602</v>
      </c>
      <c r="S1149" s="8" t="s">
        <v>70</v>
      </c>
      <c r="T1149" s="9">
        <v>15175.58</v>
      </c>
      <c r="U1149" t="s">
        <v>71</v>
      </c>
      <c r="V1149" s="8" t="s">
        <v>46</v>
      </c>
      <c r="W1149"/>
      <c r="X1149"/>
    </row>
    <row r="1150" spans="1:24" hidden="1" x14ac:dyDescent="0.3">
      <c r="A1150" t="s">
        <v>2603</v>
      </c>
      <c r="B1150" t="s">
        <v>353</v>
      </c>
      <c r="C1150">
        <v>43</v>
      </c>
      <c r="D1150" t="s">
        <v>24</v>
      </c>
      <c r="E1150" t="s">
        <v>25</v>
      </c>
      <c r="F1150" t="s">
        <v>24</v>
      </c>
      <c r="G1150" t="s">
        <v>80</v>
      </c>
      <c r="H1150" s="8" t="s">
        <v>27</v>
      </c>
      <c r="I1150" s="9">
        <v>58233.83</v>
      </c>
      <c r="J1150" s="9">
        <v>15918.64</v>
      </c>
      <c r="K1150" s="8" t="s">
        <v>74</v>
      </c>
      <c r="L1150" s="10">
        <v>0</v>
      </c>
      <c r="M1150" s="8" t="s">
        <v>75</v>
      </c>
      <c r="N1150" s="9">
        <v>0</v>
      </c>
      <c r="O1150" s="8" t="s">
        <v>30</v>
      </c>
      <c r="P1150" t="str">
        <f>TEXT(Table1[[#This Row],[Transaction_Date]],"mmm")</f>
        <v>Jul</v>
      </c>
      <c r="Q1150" s="11">
        <v>45855</v>
      </c>
      <c r="R1150" s="8" t="s">
        <v>2604</v>
      </c>
      <c r="S1150" s="8" t="s">
        <v>32</v>
      </c>
      <c r="T1150" s="9">
        <v>533.9</v>
      </c>
      <c r="U1150" t="s">
        <v>106</v>
      </c>
      <c r="V1150" s="8" t="s">
        <v>62</v>
      </c>
      <c r="W1150"/>
      <c r="X1150"/>
    </row>
    <row r="1151" spans="1:24" hidden="1" x14ac:dyDescent="0.3">
      <c r="A1151" t="s">
        <v>2605</v>
      </c>
      <c r="B1151" t="s">
        <v>294</v>
      </c>
      <c r="C1151">
        <v>54</v>
      </c>
      <c r="D1151" t="s">
        <v>84</v>
      </c>
      <c r="E1151" t="s">
        <v>85</v>
      </c>
      <c r="F1151" t="s">
        <v>84</v>
      </c>
      <c r="G1151" t="s">
        <v>26</v>
      </c>
      <c r="H1151" s="8" t="s">
        <v>67</v>
      </c>
      <c r="I1151" s="9">
        <v>18053.02</v>
      </c>
      <c r="J1151" s="9">
        <v>10764.67</v>
      </c>
      <c r="K1151" s="8" t="s">
        <v>52</v>
      </c>
      <c r="L1151" s="10">
        <v>102046.12</v>
      </c>
      <c r="M1151" s="8" t="s">
        <v>29</v>
      </c>
      <c r="N1151" s="9">
        <v>88822.73</v>
      </c>
      <c r="O1151" s="8" t="s">
        <v>30</v>
      </c>
      <c r="P1151" t="str">
        <f>TEXT(Table1[[#This Row],[Transaction_Date]],"mmm")</f>
        <v>Sep</v>
      </c>
      <c r="Q1151" s="11">
        <v>45909</v>
      </c>
      <c r="R1151" s="8" t="s">
        <v>2606</v>
      </c>
      <c r="S1151" s="8" t="s">
        <v>70</v>
      </c>
      <c r="T1151" s="9">
        <v>1055.76</v>
      </c>
      <c r="U1151" t="s">
        <v>61</v>
      </c>
      <c r="V1151" s="8" t="s">
        <v>46</v>
      </c>
      <c r="W1151"/>
      <c r="X1151"/>
    </row>
    <row r="1152" spans="1:24" x14ac:dyDescent="0.3">
      <c r="A1152" t="s">
        <v>2607</v>
      </c>
      <c r="B1152" t="s">
        <v>406</v>
      </c>
      <c r="C1152">
        <v>18</v>
      </c>
      <c r="D1152" t="s">
        <v>49</v>
      </c>
      <c r="E1152" t="s">
        <v>50</v>
      </c>
      <c r="F1152" t="s">
        <v>49</v>
      </c>
      <c r="G1152" t="s">
        <v>39</v>
      </c>
      <c r="H1152" s="8" t="s">
        <v>67</v>
      </c>
      <c r="I1152" s="9">
        <v>16557.36</v>
      </c>
      <c r="J1152" s="9">
        <v>21050.32</v>
      </c>
      <c r="K1152" s="8" t="s">
        <v>74</v>
      </c>
      <c r="L1152" s="10">
        <v>0</v>
      </c>
      <c r="M1152" s="8" t="s">
        <v>75</v>
      </c>
      <c r="N1152" s="9">
        <v>0</v>
      </c>
      <c r="O1152" s="8" t="s">
        <v>30</v>
      </c>
      <c r="P1152" t="str">
        <f>TEXT(Table1[[#This Row],[Transaction_Date]],"mmm")</f>
        <v>Jan</v>
      </c>
      <c r="Q1152" s="11">
        <v>45666</v>
      </c>
      <c r="R1152" s="8" t="s">
        <v>2608</v>
      </c>
      <c r="S1152" s="8" t="s">
        <v>44</v>
      </c>
      <c r="T1152" s="9">
        <v>6263.33</v>
      </c>
      <c r="U1152" t="s">
        <v>45</v>
      </c>
      <c r="V1152" s="8" t="s">
        <v>62</v>
      </c>
      <c r="W1152"/>
      <c r="X1152"/>
    </row>
    <row r="1153" spans="1:24" x14ac:dyDescent="0.3">
      <c r="A1153" t="s">
        <v>2609</v>
      </c>
      <c r="B1153" t="s">
        <v>152</v>
      </c>
      <c r="C1153">
        <v>38</v>
      </c>
      <c r="D1153" t="s">
        <v>84</v>
      </c>
      <c r="E1153" t="s">
        <v>85</v>
      </c>
      <c r="F1153" t="s">
        <v>84</v>
      </c>
      <c r="G1153" t="s">
        <v>39</v>
      </c>
      <c r="H1153" s="8" t="s">
        <v>27</v>
      </c>
      <c r="I1153" s="9">
        <v>48123.3</v>
      </c>
      <c r="J1153" s="9">
        <v>56755.56</v>
      </c>
      <c r="K1153" s="8" t="s">
        <v>74</v>
      </c>
      <c r="L1153" s="10">
        <v>0</v>
      </c>
      <c r="M1153" s="8" t="s">
        <v>75</v>
      </c>
      <c r="N1153" s="9">
        <v>0</v>
      </c>
      <c r="O1153" s="8" t="s">
        <v>30</v>
      </c>
      <c r="P1153" t="str">
        <f>TEXT(Table1[[#This Row],[Transaction_Date]],"mmm")</f>
        <v>May</v>
      </c>
      <c r="Q1153" s="11">
        <v>45795</v>
      </c>
      <c r="R1153" s="8" t="s">
        <v>2610</v>
      </c>
      <c r="S1153" s="8" t="s">
        <v>32</v>
      </c>
      <c r="T1153" s="9">
        <v>3559.25</v>
      </c>
      <c r="U1153" t="s">
        <v>45</v>
      </c>
      <c r="V1153" s="8" t="s">
        <v>62</v>
      </c>
      <c r="W1153"/>
      <c r="X1153"/>
    </row>
    <row r="1154" spans="1:24" hidden="1" x14ac:dyDescent="0.3">
      <c r="A1154" t="s">
        <v>2611</v>
      </c>
      <c r="B1154" t="s">
        <v>401</v>
      </c>
      <c r="C1154">
        <v>18</v>
      </c>
      <c r="D1154" t="s">
        <v>49</v>
      </c>
      <c r="E1154" t="s">
        <v>50</v>
      </c>
      <c r="F1154" t="s">
        <v>49</v>
      </c>
      <c r="G1154" t="s">
        <v>80</v>
      </c>
      <c r="H1154" s="8" t="s">
        <v>51</v>
      </c>
      <c r="I1154" s="9">
        <v>73805.75</v>
      </c>
      <c r="J1154" s="9">
        <v>31589.5</v>
      </c>
      <c r="K1154" s="8" t="s">
        <v>74</v>
      </c>
      <c r="L1154" s="10">
        <v>0</v>
      </c>
      <c r="M1154" s="8" t="s">
        <v>75</v>
      </c>
      <c r="N1154" s="9">
        <v>0</v>
      </c>
      <c r="O1154" s="8" t="s">
        <v>30</v>
      </c>
      <c r="P1154" t="str">
        <f>TEXT(Table1[[#This Row],[Transaction_Date]],"mmm")</f>
        <v>Apr</v>
      </c>
      <c r="Q1154" s="11">
        <v>45763</v>
      </c>
      <c r="R1154" s="8" t="s">
        <v>2612</v>
      </c>
      <c r="S1154" s="8" t="s">
        <v>70</v>
      </c>
      <c r="T1154" s="9">
        <v>450.23</v>
      </c>
      <c r="U1154" t="s">
        <v>77</v>
      </c>
      <c r="V1154" s="8" t="s">
        <v>46</v>
      </c>
      <c r="W1154"/>
      <c r="X1154"/>
    </row>
    <row r="1155" spans="1:24" x14ac:dyDescent="0.3">
      <c r="A1155" t="s">
        <v>2613</v>
      </c>
      <c r="B1155" t="s">
        <v>455</v>
      </c>
      <c r="C1155">
        <v>54</v>
      </c>
      <c r="D1155" t="s">
        <v>49</v>
      </c>
      <c r="E1155" t="s">
        <v>50</v>
      </c>
      <c r="F1155" t="s">
        <v>49</v>
      </c>
      <c r="G1155" t="s">
        <v>39</v>
      </c>
      <c r="H1155" s="8" t="s">
        <v>40</v>
      </c>
      <c r="I1155" s="9">
        <v>78943.259999999995</v>
      </c>
      <c r="J1155" s="9">
        <v>36952.339999999997</v>
      </c>
      <c r="K1155" s="8" t="s">
        <v>41</v>
      </c>
      <c r="L1155" s="10">
        <v>220116.16</v>
      </c>
      <c r="M1155" s="8" t="s">
        <v>29</v>
      </c>
      <c r="N1155" s="9">
        <v>196608.56</v>
      </c>
      <c r="O1155" s="8" t="s">
        <v>30</v>
      </c>
      <c r="P1155" t="str">
        <f>TEXT(Table1[[#This Row],[Transaction_Date]],"mmm")</f>
        <v>Mar</v>
      </c>
      <c r="Q1155" s="11">
        <v>45744</v>
      </c>
      <c r="R1155" s="8" t="s">
        <v>2614</v>
      </c>
      <c r="S1155" s="8" t="s">
        <v>54</v>
      </c>
      <c r="T1155" s="9">
        <v>7582.16</v>
      </c>
      <c r="U1155" t="s">
        <v>71</v>
      </c>
      <c r="V1155" s="8" t="s">
        <v>62</v>
      </c>
      <c r="W1155"/>
      <c r="X1155"/>
    </row>
    <row r="1156" spans="1:24" x14ac:dyDescent="0.3">
      <c r="A1156" t="s">
        <v>2615</v>
      </c>
      <c r="B1156" t="s">
        <v>168</v>
      </c>
      <c r="C1156">
        <v>37</v>
      </c>
      <c r="D1156" t="s">
        <v>84</v>
      </c>
      <c r="E1156" t="s">
        <v>85</v>
      </c>
      <c r="F1156" t="s">
        <v>84</v>
      </c>
      <c r="G1156" t="s">
        <v>39</v>
      </c>
      <c r="H1156" s="8" t="s">
        <v>40</v>
      </c>
      <c r="I1156" s="9">
        <v>30137.43</v>
      </c>
      <c r="J1156" s="9">
        <v>14518.45</v>
      </c>
      <c r="K1156" s="8" t="s">
        <v>28</v>
      </c>
      <c r="L1156" s="10">
        <v>50563.68</v>
      </c>
      <c r="M1156" s="8" t="s">
        <v>29</v>
      </c>
      <c r="N1156" s="9">
        <v>34429.379999999997</v>
      </c>
      <c r="O1156" s="8" t="s">
        <v>30</v>
      </c>
      <c r="P1156" t="str">
        <f>TEXT(Table1[[#This Row],[Transaction_Date]],"mmm")</f>
        <v>Apr</v>
      </c>
      <c r="Q1156" s="11">
        <v>45760</v>
      </c>
      <c r="R1156" s="8" t="s">
        <v>2616</v>
      </c>
      <c r="S1156" s="8" t="s">
        <v>44</v>
      </c>
      <c r="T1156" s="9">
        <v>807.9</v>
      </c>
      <c r="U1156" t="s">
        <v>45</v>
      </c>
      <c r="V1156" s="8" t="s">
        <v>62</v>
      </c>
      <c r="W1156"/>
      <c r="X1156"/>
    </row>
    <row r="1157" spans="1:24" x14ac:dyDescent="0.3">
      <c r="A1157" t="s">
        <v>2617</v>
      </c>
      <c r="B1157" t="s">
        <v>563</v>
      </c>
      <c r="C1157">
        <v>35</v>
      </c>
      <c r="D1157" t="s">
        <v>92</v>
      </c>
      <c r="E1157" t="s">
        <v>93</v>
      </c>
      <c r="F1157" t="s">
        <v>92</v>
      </c>
      <c r="G1157" t="s">
        <v>39</v>
      </c>
      <c r="H1157" s="8" t="s">
        <v>40</v>
      </c>
      <c r="I1157" s="9">
        <v>68079.199999999997</v>
      </c>
      <c r="J1157" s="9">
        <v>12511.75</v>
      </c>
      <c r="K1157" s="8" t="s">
        <v>68</v>
      </c>
      <c r="L1157" s="10">
        <v>53584.14</v>
      </c>
      <c r="M1157" s="8" t="s">
        <v>29</v>
      </c>
      <c r="N1157" s="9">
        <v>44934.39</v>
      </c>
      <c r="O1157" s="8" t="s">
        <v>30</v>
      </c>
      <c r="P1157" t="str">
        <f>TEXT(Table1[[#This Row],[Transaction_Date]],"mmm")</f>
        <v>Dec</v>
      </c>
      <c r="Q1157" s="11">
        <v>46020</v>
      </c>
      <c r="R1157" s="8" t="s">
        <v>2618</v>
      </c>
      <c r="S1157" s="8" t="s">
        <v>44</v>
      </c>
      <c r="T1157" s="9">
        <v>14829.93</v>
      </c>
      <c r="U1157" t="s">
        <v>45</v>
      </c>
      <c r="V1157" s="8" t="s">
        <v>62</v>
      </c>
      <c r="W1157"/>
      <c r="X1157"/>
    </row>
    <row r="1158" spans="1:24" hidden="1" x14ac:dyDescent="0.3">
      <c r="A1158" t="s">
        <v>2619</v>
      </c>
      <c r="B1158" t="s">
        <v>1185</v>
      </c>
      <c r="C1158">
        <v>58</v>
      </c>
      <c r="D1158" t="s">
        <v>97</v>
      </c>
      <c r="E1158" t="s">
        <v>98</v>
      </c>
      <c r="F1158" t="s">
        <v>97</v>
      </c>
      <c r="G1158" t="s">
        <v>80</v>
      </c>
      <c r="H1158" s="8" t="s">
        <v>51</v>
      </c>
      <c r="I1158" s="9">
        <v>87017.82</v>
      </c>
      <c r="J1158" s="9">
        <v>31982.49</v>
      </c>
      <c r="K1158" s="8" t="s">
        <v>68</v>
      </c>
      <c r="L1158" s="10">
        <v>211542.35</v>
      </c>
      <c r="M1158" s="8" t="s">
        <v>29</v>
      </c>
      <c r="N1158" s="9">
        <v>42999.13</v>
      </c>
      <c r="O1158" s="8" t="s">
        <v>30</v>
      </c>
      <c r="P1158" t="str">
        <f>TEXT(Table1[[#This Row],[Transaction_Date]],"mmm")</f>
        <v>May</v>
      </c>
      <c r="Q1158" s="11">
        <v>45781</v>
      </c>
      <c r="R1158" s="8" t="s">
        <v>2620</v>
      </c>
      <c r="S1158" s="8" t="s">
        <v>32</v>
      </c>
      <c r="T1158" s="9">
        <v>869.62</v>
      </c>
      <c r="U1158" t="s">
        <v>106</v>
      </c>
      <c r="V1158" s="8" t="s">
        <v>34</v>
      </c>
      <c r="W1158"/>
      <c r="X1158"/>
    </row>
    <row r="1159" spans="1:24" hidden="1" x14ac:dyDescent="0.3">
      <c r="A1159" t="s">
        <v>2621</v>
      </c>
      <c r="B1159" t="s">
        <v>469</v>
      </c>
      <c r="C1159">
        <v>22</v>
      </c>
      <c r="D1159" t="s">
        <v>65</v>
      </c>
      <c r="E1159" t="s">
        <v>66</v>
      </c>
      <c r="F1159" t="s">
        <v>65</v>
      </c>
      <c r="G1159" t="s">
        <v>26</v>
      </c>
      <c r="H1159" s="8" t="s">
        <v>51</v>
      </c>
      <c r="I1159" s="9">
        <v>49035.47</v>
      </c>
      <c r="J1159" s="9">
        <v>32190.74</v>
      </c>
      <c r="K1159" s="8" t="s">
        <v>74</v>
      </c>
      <c r="L1159" s="10">
        <v>0</v>
      </c>
      <c r="M1159" s="8" t="s">
        <v>75</v>
      </c>
      <c r="N1159" s="9">
        <v>0</v>
      </c>
      <c r="O1159" s="8" t="s">
        <v>30</v>
      </c>
      <c r="P1159" t="str">
        <f>TEXT(Table1[[#This Row],[Transaction_Date]],"mmm")</f>
        <v>Sep</v>
      </c>
      <c r="Q1159" s="11">
        <v>45907</v>
      </c>
      <c r="R1159" s="8" t="s">
        <v>2622</v>
      </c>
      <c r="S1159" s="8" t="s">
        <v>32</v>
      </c>
      <c r="T1159" s="9">
        <v>3802.09</v>
      </c>
      <c r="U1159" t="s">
        <v>45</v>
      </c>
      <c r="V1159" s="8" t="s">
        <v>62</v>
      </c>
      <c r="W1159"/>
      <c r="X1159"/>
    </row>
    <row r="1160" spans="1:24" hidden="1" x14ac:dyDescent="0.3">
      <c r="A1160" t="s">
        <v>2623</v>
      </c>
      <c r="B1160" t="s">
        <v>2624</v>
      </c>
      <c r="C1160">
        <v>34</v>
      </c>
      <c r="D1160" t="s">
        <v>37</v>
      </c>
      <c r="E1160" t="s">
        <v>38</v>
      </c>
      <c r="F1160" t="s">
        <v>37</v>
      </c>
      <c r="G1160" t="s">
        <v>80</v>
      </c>
      <c r="H1160" s="8" t="s">
        <v>67</v>
      </c>
      <c r="I1160" s="9">
        <v>48186.48</v>
      </c>
      <c r="J1160" s="9">
        <v>30437.15</v>
      </c>
      <c r="K1160" s="8" t="s">
        <v>74</v>
      </c>
      <c r="L1160" s="10">
        <v>0</v>
      </c>
      <c r="M1160" s="8" t="s">
        <v>75</v>
      </c>
      <c r="N1160" s="9">
        <v>0</v>
      </c>
      <c r="O1160" s="8" t="s">
        <v>30</v>
      </c>
      <c r="P1160" t="str">
        <f>TEXT(Table1[[#This Row],[Transaction_Date]],"mmm")</f>
        <v>Sep</v>
      </c>
      <c r="Q1160" s="11">
        <v>45924</v>
      </c>
      <c r="R1160" s="8" t="s">
        <v>2625</v>
      </c>
      <c r="S1160" s="8" t="s">
        <v>70</v>
      </c>
      <c r="T1160" s="9">
        <v>31034.57</v>
      </c>
      <c r="U1160" t="s">
        <v>77</v>
      </c>
      <c r="V1160" s="8" t="s">
        <v>62</v>
      </c>
      <c r="W1160"/>
      <c r="X1160"/>
    </row>
    <row r="1161" spans="1:24" hidden="1" x14ac:dyDescent="0.3">
      <c r="A1161" t="s">
        <v>2626</v>
      </c>
      <c r="B1161" t="s">
        <v>553</v>
      </c>
      <c r="C1161">
        <v>39</v>
      </c>
      <c r="D1161" t="s">
        <v>57</v>
      </c>
      <c r="E1161" t="s">
        <v>58</v>
      </c>
      <c r="F1161" t="s">
        <v>57</v>
      </c>
      <c r="G1161" t="s">
        <v>51</v>
      </c>
      <c r="H1161" s="8" t="s">
        <v>27</v>
      </c>
      <c r="I1161" s="9">
        <v>45480.69</v>
      </c>
      <c r="J1161" s="9">
        <v>261213.31</v>
      </c>
      <c r="K1161" s="8" t="s">
        <v>74</v>
      </c>
      <c r="L1161" s="10">
        <v>0</v>
      </c>
      <c r="M1161" s="8" t="s">
        <v>75</v>
      </c>
      <c r="N1161" s="9">
        <v>0</v>
      </c>
      <c r="O1161" s="8" t="s">
        <v>30</v>
      </c>
      <c r="P1161" t="str">
        <f>TEXT(Table1[[#This Row],[Transaction_Date]],"mmm")</f>
        <v>Mar</v>
      </c>
      <c r="Q1161" s="11">
        <v>45722</v>
      </c>
      <c r="R1161" s="8" t="s">
        <v>2627</v>
      </c>
      <c r="S1161" s="8" t="s">
        <v>32</v>
      </c>
      <c r="T1161" s="9">
        <v>3132.56</v>
      </c>
      <c r="U1161" t="s">
        <v>45</v>
      </c>
      <c r="V1161" s="8" t="s">
        <v>34</v>
      </c>
      <c r="W1161"/>
      <c r="X1161"/>
    </row>
    <row r="1162" spans="1:24" hidden="1" x14ac:dyDescent="0.3">
      <c r="A1162" t="s">
        <v>2628</v>
      </c>
      <c r="B1162" t="s">
        <v>209</v>
      </c>
      <c r="C1162">
        <v>36</v>
      </c>
      <c r="D1162" t="s">
        <v>49</v>
      </c>
      <c r="E1162" t="s">
        <v>50</v>
      </c>
      <c r="F1162" t="s">
        <v>49</v>
      </c>
      <c r="G1162" t="s">
        <v>51</v>
      </c>
      <c r="H1162" s="8" t="s">
        <v>40</v>
      </c>
      <c r="I1162" s="9">
        <v>46642.02</v>
      </c>
      <c r="J1162" s="9">
        <v>31797.919999999998</v>
      </c>
      <c r="K1162" s="8" t="s">
        <v>74</v>
      </c>
      <c r="L1162" s="10">
        <v>0</v>
      </c>
      <c r="M1162" s="8" t="s">
        <v>75</v>
      </c>
      <c r="N1162" s="9">
        <v>0</v>
      </c>
      <c r="O1162" s="8" t="s">
        <v>30</v>
      </c>
      <c r="P1162" t="str">
        <f>TEXT(Table1[[#This Row],[Transaction_Date]],"mmm")</f>
        <v>Oct</v>
      </c>
      <c r="Q1162" s="11">
        <v>45937</v>
      </c>
      <c r="R1162" s="8" t="s">
        <v>2629</v>
      </c>
      <c r="S1162" s="8" t="s">
        <v>54</v>
      </c>
      <c r="T1162" s="9">
        <v>6833.6</v>
      </c>
      <c r="U1162" t="s">
        <v>61</v>
      </c>
      <c r="V1162" s="8" t="s">
        <v>46</v>
      </c>
      <c r="W1162"/>
      <c r="X1162"/>
    </row>
    <row r="1163" spans="1:24" x14ac:dyDescent="0.3">
      <c r="A1163" t="s">
        <v>2630</v>
      </c>
      <c r="B1163" t="s">
        <v>1208</v>
      </c>
      <c r="C1163">
        <v>46</v>
      </c>
      <c r="D1163" t="s">
        <v>49</v>
      </c>
      <c r="E1163" t="s">
        <v>50</v>
      </c>
      <c r="F1163" t="s">
        <v>49</v>
      </c>
      <c r="G1163" t="s">
        <v>39</v>
      </c>
      <c r="H1163" s="8" t="s">
        <v>27</v>
      </c>
      <c r="I1163" s="9">
        <v>66251.14</v>
      </c>
      <c r="J1163" s="9">
        <v>81345.95</v>
      </c>
      <c r="K1163" s="8" t="s">
        <v>74</v>
      </c>
      <c r="L1163" s="10">
        <v>0</v>
      </c>
      <c r="M1163" s="8" t="s">
        <v>75</v>
      </c>
      <c r="N1163" s="9">
        <v>0</v>
      </c>
      <c r="O1163" s="8" t="s">
        <v>30</v>
      </c>
      <c r="P1163" t="str">
        <f>TEXT(Table1[[#This Row],[Transaction_Date]],"mmm")</f>
        <v>Mar</v>
      </c>
      <c r="Q1163" s="11">
        <v>45735</v>
      </c>
      <c r="R1163" s="8" t="s">
        <v>2631</v>
      </c>
      <c r="S1163" s="8" t="s">
        <v>32</v>
      </c>
      <c r="T1163" s="9">
        <v>7254.9</v>
      </c>
      <c r="U1163" t="s">
        <v>71</v>
      </c>
      <c r="V1163" s="8" t="s">
        <v>62</v>
      </c>
      <c r="W1163"/>
      <c r="X1163"/>
    </row>
    <row r="1164" spans="1:24" hidden="1" x14ac:dyDescent="0.3">
      <c r="A1164" t="s">
        <v>2632</v>
      </c>
      <c r="B1164" t="s">
        <v>218</v>
      </c>
      <c r="C1164">
        <v>29</v>
      </c>
      <c r="D1164" t="s">
        <v>97</v>
      </c>
      <c r="E1164" t="s">
        <v>98</v>
      </c>
      <c r="F1164" t="s">
        <v>97</v>
      </c>
      <c r="G1164" t="s">
        <v>51</v>
      </c>
      <c r="H1164" s="8" t="s">
        <v>27</v>
      </c>
      <c r="I1164" s="9">
        <v>86334.24</v>
      </c>
      <c r="J1164" s="9">
        <v>6853.66</v>
      </c>
      <c r="K1164" s="8" t="s">
        <v>74</v>
      </c>
      <c r="L1164" s="10">
        <v>0</v>
      </c>
      <c r="M1164" s="8" t="s">
        <v>75</v>
      </c>
      <c r="N1164" s="9">
        <v>0</v>
      </c>
      <c r="O1164" s="8" t="s">
        <v>30</v>
      </c>
      <c r="P1164" t="str">
        <f>TEXT(Table1[[#This Row],[Transaction_Date]],"mmm")</f>
        <v>Jan</v>
      </c>
      <c r="Q1164" s="11">
        <v>45684</v>
      </c>
      <c r="R1164" s="8" t="s">
        <v>2633</v>
      </c>
      <c r="S1164" s="8" t="s">
        <v>44</v>
      </c>
      <c r="T1164" s="9">
        <v>636.65</v>
      </c>
      <c r="U1164" t="s">
        <v>71</v>
      </c>
      <c r="V1164" s="8" t="s">
        <v>62</v>
      </c>
      <c r="W1164"/>
      <c r="X1164"/>
    </row>
    <row r="1165" spans="1:24" hidden="1" x14ac:dyDescent="0.3">
      <c r="A1165" t="s">
        <v>2634</v>
      </c>
      <c r="B1165" t="s">
        <v>478</v>
      </c>
      <c r="C1165">
        <v>28</v>
      </c>
      <c r="D1165" t="s">
        <v>84</v>
      </c>
      <c r="E1165" t="s">
        <v>85</v>
      </c>
      <c r="F1165" t="s">
        <v>84</v>
      </c>
      <c r="G1165" t="s">
        <v>51</v>
      </c>
      <c r="H1165" s="8" t="s">
        <v>40</v>
      </c>
      <c r="I1165" s="9">
        <v>48866.51</v>
      </c>
      <c r="J1165" s="9">
        <v>12332.5</v>
      </c>
      <c r="K1165" s="8" t="s">
        <v>68</v>
      </c>
      <c r="L1165" s="10">
        <v>62981.89</v>
      </c>
      <c r="M1165" s="8" t="s">
        <v>29</v>
      </c>
      <c r="N1165" s="9">
        <v>29261.67</v>
      </c>
      <c r="O1165" s="8" t="s">
        <v>30</v>
      </c>
      <c r="P1165" t="str">
        <f>TEXT(Table1[[#This Row],[Transaction_Date]],"mmm")</f>
        <v>Oct</v>
      </c>
      <c r="Q1165" s="11">
        <v>45946</v>
      </c>
      <c r="R1165" s="8" t="s">
        <v>2635</v>
      </c>
      <c r="S1165" s="8" t="s">
        <v>54</v>
      </c>
      <c r="T1165" s="9">
        <v>6415.58</v>
      </c>
      <c r="U1165" t="s">
        <v>77</v>
      </c>
      <c r="V1165" s="8" t="s">
        <v>62</v>
      </c>
      <c r="W1165"/>
      <c r="X1165"/>
    </row>
    <row r="1166" spans="1:24" x14ac:dyDescent="0.3">
      <c r="A1166" t="s">
        <v>2636</v>
      </c>
      <c r="B1166" t="s">
        <v>1276</v>
      </c>
      <c r="C1166">
        <v>25</v>
      </c>
      <c r="D1166" t="s">
        <v>49</v>
      </c>
      <c r="E1166" t="s">
        <v>50</v>
      </c>
      <c r="F1166" t="s">
        <v>49</v>
      </c>
      <c r="G1166" t="s">
        <v>39</v>
      </c>
      <c r="H1166" s="8" t="s">
        <v>40</v>
      </c>
      <c r="I1166" s="9">
        <v>91561.08</v>
      </c>
      <c r="J1166" s="9">
        <v>29405.8</v>
      </c>
      <c r="K1166" s="8" t="s">
        <v>68</v>
      </c>
      <c r="L1166" s="10">
        <v>61628.52</v>
      </c>
      <c r="M1166" s="8" t="s">
        <v>29</v>
      </c>
      <c r="N1166" s="9">
        <v>13786.19</v>
      </c>
      <c r="O1166" s="8" t="s">
        <v>30</v>
      </c>
      <c r="P1166" t="str">
        <f>TEXT(Table1[[#This Row],[Transaction_Date]],"mmm")</f>
        <v>Apr</v>
      </c>
      <c r="Q1166" s="11">
        <v>45755</v>
      </c>
      <c r="R1166" s="8" t="s">
        <v>2637</v>
      </c>
      <c r="S1166" s="8" t="s">
        <v>54</v>
      </c>
      <c r="T1166" s="9">
        <v>804.54</v>
      </c>
      <c r="U1166" t="s">
        <v>106</v>
      </c>
      <c r="V1166" s="8" t="s">
        <v>62</v>
      </c>
      <c r="W1166"/>
      <c r="X1166"/>
    </row>
    <row r="1167" spans="1:24" hidden="1" x14ac:dyDescent="0.3">
      <c r="A1167" t="s">
        <v>2638</v>
      </c>
      <c r="B1167" t="s">
        <v>311</v>
      </c>
      <c r="C1167">
        <v>39</v>
      </c>
      <c r="D1167" t="s">
        <v>57</v>
      </c>
      <c r="E1167" t="s">
        <v>58</v>
      </c>
      <c r="F1167" t="s">
        <v>57</v>
      </c>
      <c r="G1167" t="s">
        <v>80</v>
      </c>
      <c r="H1167" s="8" t="s">
        <v>27</v>
      </c>
      <c r="I1167" s="9">
        <v>61462.74</v>
      </c>
      <c r="J1167" s="9">
        <v>23254.35</v>
      </c>
      <c r="K1167" s="8" t="s">
        <v>41</v>
      </c>
      <c r="L1167" s="10">
        <v>25000</v>
      </c>
      <c r="M1167" s="8" t="s">
        <v>29</v>
      </c>
      <c r="N1167" s="9">
        <v>20199.12</v>
      </c>
      <c r="O1167" s="8" t="s">
        <v>30</v>
      </c>
      <c r="P1167" t="str">
        <f>TEXT(Table1[[#This Row],[Transaction_Date]],"mmm")</f>
        <v>Feb</v>
      </c>
      <c r="Q1167" s="11">
        <v>45690</v>
      </c>
      <c r="R1167" s="8" t="s">
        <v>2639</v>
      </c>
      <c r="S1167" s="8" t="s">
        <v>44</v>
      </c>
      <c r="T1167" s="9">
        <v>2905.13</v>
      </c>
      <c r="U1167" t="s">
        <v>61</v>
      </c>
      <c r="V1167" s="8" t="s">
        <v>62</v>
      </c>
      <c r="W1167"/>
      <c r="X1167"/>
    </row>
    <row r="1168" spans="1:24" x14ac:dyDescent="0.3">
      <c r="A1168" t="s">
        <v>2640</v>
      </c>
      <c r="B1168" t="s">
        <v>365</v>
      </c>
      <c r="C1168">
        <v>41</v>
      </c>
      <c r="D1168" t="s">
        <v>49</v>
      </c>
      <c r="E1168" t="s">
        <v>50</v>
      </c>
      <c r="F1168" t="s">
        <v>49</v>
      </c>
      <c r="G1168" t="s">
        <v>39</v>
      </c>
      <c r="H1168" s="8" t="s">
        <v>40</v>
      </c>
      <c r="I1168" s="9">
        <v>107337.28</v>
      </c>
      <c r="J1168" s="9">
        <v>20317.03</v>
      </c>
      <c r="K1168" s="8" t="s">
        <v>74</v>
      </c>
      <c r="L1168" s="10">
        <v>0</v>
      </c>
      <c r="M1168" s="8" t="s">
        <v>75</v>
      </c>
      <c r="N1168" s="9">
        <v>0</v>
      </c>
      <c r="O1168" s="8" t="s">
        <v>30</v>
      </c>
      <c r="P1168" t="str">
        <f>TEXT(Table1[[#This Row],[Transaction_Date]],"mmm")</f>
        <v>Oct</v>
      </c>
      <c r="Q1168" s="11">
        <v>45954</v>
      </c>
      <c r="R1168" s="8" t="s">
        <v>2641</v>
      </c>
      <c r="S1168" s="8" t="s">
        <v>70</v>
      </c>
      <c r="T1168" s="9">
        <v>2772.08</v>
      </c>
      <c r="U1168" t="s">
        <v>33</v>
      </c>
      <c r="V1168" s="8" t="s">
        <v>34</v>
      </c>
      <c r="W1168"/>
      <c r="X1168"/>
    </row>
    <row r="1169" spans="1:24" x14ac:dyDescent="0.3">
      <c r="A1169" t="s">
        <v>2642</v>
      </c>
      <c r="B1169" t="s">
        <v>285</v>
      </c>
      <c r="C1169">
        <v>52</v>
      </c>
      <c r="D1169" t="s">
        <v>97</v>
      </c>
      <c r="E1169" t="s">
        <v>98</v>
      </c>
      <c r="F1169" t="s">
        <v>97</v>
      </c>
      <c r="G1169" t="s">
        <v>39</v>
      </c>
      <c r="H1169" s="8" t="s">
        <v>67</v>
      </c>
      <c r="I1169" s="9">
        <v>12000</v>
      </c>
      <c r="J1169" s="9">
        <v>48122.58</v>
      </c>
      <c r="K1169" s="8" t="s">
        <v>68</v>
      </c>
      <c r="L1169" s="10">
        <v>215992.9</v>
      </c>
      <c r="M1169" s="8" t="s">
        <v>29</v>
      </c>
      <c r="N1169" s="9">
        <v>163307.9</v>
      </c>
      <c r="O1169" s="8" t="s">
        <v>30</v>
      </c>
      <c r="P1169" t="str">
        <f>TEXT(Table1[[#This Row],[Transaction_Date]],"mmm")</f>
        <v>Jul</v>
      </c>
      <c r="Q1169" s="11">
        <v>45863</v>
      </c>
      <c r="R1169" s="8" t="s">
        <v>2643</v>
      </c>
      <c r="S1169" s="8" t="s">
        <v>70</v>
      </c>
      <c r="T1169" s="9">
        <v>4095.82</v>
      </c>
      <c r="U1169" t="s">
        <v>45</v>
      </c>
      <c r="V1169" s="8" t="s">
        <v>62</v>
      </c>
      <c r="W1169"/>
      <c r="X1169"/>
    </row>
    <row r="1170" spans="1:24" hidden="1" x14ac:dyDescent="0.3">
      <c r="A1170" t="s">
        <v>2644</v>
      </c>
      <c r="B1170" t="s">
        <v>472</v>
      </c>
      <c r="C1170">
        <v>37</v>
      </c>
      <c r="D1170" t="s">
        <v>49</v>
      </c>
      <c r="E1170" t="s">
        <v>50</v>
      </c>
      <c r="F1170" t="s">
        <v>49</v>
      </c>
      <c r="G1170" t="s">
        <v>51</v>
      </c>
      <c r="H1170" s="8" t="s">
        <v>27</v>
      </c>
      <c r="I1170" s="9">
        <v>94008.42</v>
      </c>
      <c r="J1170" s="9">
        <v>5582.89</v>
      </c>
      <c r="K1170" s="8" t="s">
        <v>74</v>
      </c>
      <c r="L1170" s="10">
        <v>0</v>
      </c>
      <c r="M1170" s="8" t="s">
        <v>75</v>
      </c>
      <c r="N1170" s="9">
        <v>0</v>
      </c>
      <c r="O1170" s="8" t="s">
        <v>30</v>
      </c>
      <c r="P1170" t="str">
        <f>TEXT(Table1[[#This Row],[Transaction_Date]],"mmm")</f>
        <v>Aug</v>
      </c>
      <c r="Q1170" s="11">
        <v>45891</v>
      </c>
      <c r="R1170" s="8" t="s">
        <v>2645</v>
      </c>
      <c r="S1170" s="8" t="s">
        <v>54</v>
      </c>
      <c r="T1170" s="9">
        <v>18936.34</v>
      </c>
      <c r="U1170" t="s">
        <v>33</v>
      </c>
      <c r="V1170" s="8" t="s">
        <v>62</v>
      </c>
      <c r="W1170"/>
      <c r="X1170"/>
    </row>
    <row r="1171" spans="1:24" x14ac:dyDescent="0.3">
      <c r="A1171" t="s">
        <v>2646</v>
      </c>
      <c r="B1171" t="s">
        <v>325</v>
      </c>
      <c r="C1171">
        <v>24</v>
      </c>
      <c r="D1171" t="s">
        <v>84</v>
      </c>
      <c r="E1171" t="s">
        <v>85</v>
      </c>
      <c r="F1171" t="s">
        <v>84</v>
      </c>
      <c r="G1171" t="s">
        <v>39</v>
      </c>
      <c r="H1171" s="8" t="s">
        <v>40</v>
      </c>
      <c r="I1171" s="9">
        <v>110276.73</v>
      </c>
      <c r="J1171" s="9">
        <v>32048.560000000001</v>
      </c>
      <c r="K1171" s="8" t="s">
        <v>74</v>
      </c>
      <c r="L1171" s="10">
        <v>0</v>
      </c>
      <c r="M1171" s="8" t="s">
        <v>75</v>
      </c>
      <c r="N1171" s="9">
        <v>0</v>
      </c>
      <c r="O1171" s="8" t="s">
        <v>30</v>
      </c>
      <c r="P1171" t="str">
        <f>TEXT(Table1[[#This Row],[Transaction_Date]],"mmm")</f>
        <v>Apr</v>
      </c>
      <c r="Q1171" s="11">
        <v>45750</v>
      </c>
      <c r="R1171" s="8" t="s">
        <v>2647</v>
      </c>
      <c r="S1171" s="8" t="s">
        <v>32</v>
      </c>
      <c r="T1171" s="9">
        <v>8898.74</v>
      </c>
      <c r="U1171" t="s">
        <v>45</v>
      </c>
      <c r="V1171" s="8" t="s">
        <v>34</v>
      </c>
      <c r="W1171"/>
      <c r="X1171"/>
    </row>
    <row r="1172" spans="1:24" x14ac:dyDescent="0.3">
      <c r="A1172" t="s">
        <v>2648</v>
      </c>
      <c r="B1172" t="s">
        <v>997</v>
      </c>
      <c r="C1172">
        <v>24</v>
      </c>
      <c r="D1172" t="s">
        <v>37</v>
      </c>
      <c r="E1172" t="s">
        <v>38</v>
      </c>
      <c r="F1172" t="s">
        <v>37</v>
      </c>
      <c r="G1172" t="s">
        <v>39</v>
      </c>
      <c r="H1172" s="8" t="s">
        <v>51</v>
      </c>
      <c r="I1172" s="9">
        <v>52225.75</v>
      </c>
      <c r="J1172" s="9">
        <v>52822.9</v>
      </c>
      <c r="K1172" s="8" t="s">
        <v>74</v>
      </c>
      <c r="L1172" s="10">
        <v>0</v>
      </c>
      <c r="M1172" s="8" t="s">
        <v>75</v>
      </c>
      <c r="N1172" s="9">
        <v>0</v>
      </c>
      <c r="O1172" s="8" t="s">
        <v>30</v>
      </c>
      <c r="P1172" t="str">
        <f>TEXT(Table1[[#This Row],[Transaction_Date]],"mmm")</f>
        <v>Apr</v>
      </c>
      <c r="Q1172" s="11">
        <v>45758</v>
      </c>
      <c r="R1172" s="8" t="s">
        <v>2649</v>
      </c>
      <c r="S1172" s="8" t="s">
        <v>44</v>
      </c>
      <c r="T1172" s="9">
        <v>4426.68</v>
      </c>
      <c r="U1172" t="s">
        <v>71</v>
      </c>
      <c r="V1172" s="8" t="s">
        <v>62</v>
      </c>
      <c r="W1172"/>
      <c r="X1172"/>
    </row>
    <row r="1173" spans="1:24" x14ac:dyDescent="0.3">
      <c r="A1173" t="s">
        <v>2650</v>
      </c>
      <c r="B1173" t="s">
        <v>2085</v>
      </c>
      <c r="C1173">
        <v>32</v>
      </c>
      <c r="D1173" t="s">
        <v>92</v>
      </c>
      <c r="E1173" t="s">
        <v>93</v>
      </c>
      <c r="F1173" t="s">
        <v>92</v>
      </c>
      <c r="G1173" t="s">
        <v>39</v>
      </c>
      <c r="H1173" s="8" t="s">
        <v>27</v>
      </c>
      <c r="I1173" s="9">
        <v>69949.78</v>
      </c>
      <c r="J1173" s="9">
        <v>14847.5</v>
      </c>
      <c r="K1173" s="8" t="s">
        <v>74</v>
      </c>
      <c r="L1173" s="10">
        <v>0</v>
      </c>
      <c r="M1173" s="8" t="s">
        <v>75</v>
      </c>
      <c r="N1173" s="9">
        <v>0</v>
      </c>
      <c r="O1173" s="8" t="s">
        <v>30</v>
      </c>
      <c r="P1173" t="str">
        <f>TEXT(Table1[[#This Row],[Transaction_Date]],"mmm")</f>
        <v>Mar</v>
      </c>
      <c r="Q1173" s="11">
        <v>45734</v>
      </c>
      <c r="R1173" s="8" t="s">
        <v>2651</v>
      </c>
      <c r="S1173" s="8" t="s">
        <v>54</v>
      </c>
      <c r="T1173" s="9">
        <v>1646.54</v>
      </c>
      <c r="U1173" t="s">
        <v>77</v>
      </c>
      <c r="V1173" s="8" t="s">
        <v>62</v>
      </c>
      <c r="W1173"/>
      <c r="X1173"/>
    </row>
    <row r="1174" spans="1:24" x14ac:dyDescent="0.3">
      <c r="A1174" t="s">
        <v>2652</v>
      </c>
      <c r="B1174" t="s">
        <v>1233</v>
      </c>
      <c r="C1174">
        <v>33</v>
      </c>
      <c r="D1174" t="s">
        <v>37</v>
      </c>
      <c r="E1174" t="s">
        <v>38</v>
      </c>
      <c r="F1174" t="s">
        <v>37</v>
      </c>
      <c r="G1174" t="s">
        <v>39</v>
      </c>
      <c r="H1174" s="8" t="s">
        <v>27</v>
      </c>
      <c r="I1174" s="9">
        <v>46660.94</v>
      </c>
      <c r="J1174" s="9">
        <v>11052.95</v>
      </c>
      <c r="K1174" s="8" t="s">
        <v>74</v>
      </c>
      <c r="L1174" s="10">
        <v>0</v>
      </c>
      <c r="M1174" s="8" t="s">
        <v>75</v>
      </c>
      <c r="N1174" s="9">
        <v>0</v>
      </c>
      <c r="O1174" s="8" t="s">
        <v>30</v>
      </c>
      <c r="P1174" t="str">
        <f>TEXT(Table1[[#This Row],[Transaction_Date]],"mmm")</f>
        <v>Jun</v>
      </c>
      <c r="Q1174" s="11">
        <v>45822</v>
      </c>
      <c r="R1174" s="8" t="s">
        <v>2653</v>
      </c>
      <c r="S1174" s="8" t="s">
        <v>54</v>
      </c>
      <c r="T1174" s="9">
        <v>3423.14</v>
      </c>
      <c r="U1174" t="s">
        <v>71</v>
      </c>
      <c r="V1174" s="8" t="s">
        <v>46</v>
      </c>
      <c r="W1174"/>
      <c r="X1174"/>
    </row>
    <row r="1175" spans="1:24" hidden="1" x14ac:dyDescent="0.3">
      <c r="A1175" t="s">
        <v>2654</v>
      </c>
      <c r="B1175" t="s">
        <v>1942</v>
      </c>
      <c r="C1175">
        <v>36</v>
      </c>
      <c r="D1175" t="s">
        <v>65</v>
      </c>
      <c r="E1175" t="s">
        <v>66</v>
      </c>
      <c r="F1175" t="s">
        <v>65</v>
      </c>
      <c r="G1175" t="s">
        <v>51</v>
      </c>
      <c r="H1175" s="8" t="s">
        <v>40</v>
      </c>
      <c r="I1175" s="9">
        <v>26988.38</v>
      </c>
      <c r="J1175" s="9">
        <v>52918.43</v>
      </c>
      <c r="K1175" s="8" t="s">
        <v>28</v>
      </c>
      <c r="L1175" s="10">
        <v>66319.12</v>
      </c>
      <c r="M1175" s="8" t="s">
        <v>29</v>
      </c>
      <c r="N1175" s="9">
        <v>23789.43</v>
      </c>
      <c r="O1175" s="8" t="s">
        <v>30</v>
      </c>
      <c r="P1175" t="str">
        <f>TEXT(Table1[[#This Row],[Transaction_Date]],"mmm")</f>
        <v>Nov</v>
      </c>
      <c r="Q1175" s="11">
        <v>45981</v>
      </c>
      <c r="R1175" s="8" t="s">
        <v>2655</v>
      </c>
      <c r="S1175" s="8" t="s">
        <v>70</v>
      </c>
      <c r="T1175" s="9">
        <v>1209.26</v>
      </c>
      <c r="U1175" t="s">
        <v>33</v>
      </c>
      <c r="V1175" s="8" t="s">
        <v>62</v>
      </c>
      <c r="W1175"/>
      <c r="X1175"/>
    </row>
    <row r="1176" spans="1:24" hidden="1" x14ac:dyDescent="0.3">
      <c r="A1176" t="s">
        <v>2656</v>
      </c>
      <c r="B1176" t="s">
        <v>610</v>
      </c>
      <c r="C1176">
        <v>37</v>
      </c>
      <c r="D1176" t="s">
        <v>92</v>
      </c>
      <c r="E1176" t="s">
        <v>93</v>
      </c>
      <c r="F1176" t="s">
        <v>92</v>
      </c>
      <c r="G1176" t="s">
        <v>80</v>
      </c>
      <c r="H1176" s="8" t="s">
        <v>40</v>
      </c>
      <c r="I1176" s="9">
        <v>44172.53</v>
      </c>
      <c r="J1176" s="9">
        <v>60104.639999999999</v>
      </c>
      <c r="K1176" s="8" t="s">
        <v>28</v>
      </c>
      <c r="L1176" s="10">
        <v>50289.2</v>
      </c>
      <c r="M1176" s="8" t="s">
        <v>42</v>
      </c>
      <c r="N1176" s="9">
        <v>0</v>
      </c>
      <c r="O1176" s="8" t="s">
        <v>30</v>
      </c>
      <c r="P1176" t="str">
        <f>TEXT(Table1[[#This Row],[Transaction_Date]],"mmm")</f>
        <v>Oct</v>
      </c>
      <c r="Q1176" s="11">
        <v>45951</v>
      </c>
      <c r="R1176" s="8" t="s">
        <v>2657</v>
      </c>
      <c r="S1176" s="8" t="s">
        <v>54</v>
      </c>
      <c r="T1176" s="9">
        <v>1478.01</v>
      </c>
      <c r="U1176" t="s">
        <v>33</v>
      </c>
      <c r="V1176" s="8" t="s">
        <v>46</v>
      </c>
      <c r="W1176"/>
      <c r="X1176"/>
    </row>
    <row r="1177" spans="1:24" hidden="1" x14ac:dyDescent="0.3">
      <c r="A1177" t="s">
        <v>2658</v>
      </c>
      <c r="B1177" t="s">
        <v>962</v>
      </c>
      <c r="C1177">
        <v>40</v>
      </c>
      <c r="D1177" t="s">
        <v>57</v>
      </c>
      <c r="E1177" t="s">
        <v>58</v>
      </c>
      <c r="F1177" t="s">
        <v>57</v>
      </c>
      <c r="G1177" t="s">
        <v>26</v>
      </c>
      <c r="H1177" s="8" t="s">
        <v>40</v>
      </c>
      <c r="I1177" s="9">
        <v>81685.649999999994</v>
      </c>
      <c r="J1177" s="9">
        <v>59846.09</v>
      </c>
      <c r="K1177" s="8" t="s">
        <v>74</v>
      </c>
      <c r="L1177" s="10">
        <v>0</v>
      </c>
      <c r="M1177" s="8" t="s">
        <v>75</v>
      </c>
      <c r="N1177" s="9">
        <v>0</v>
      </c>
      <c r="O1177" s="8" t="s">
        <v>30</v>
      </c>
      <c r="P1177" t="str">
        <f>TEXT(Table1[[#This Row],[Transaction_Date]],"mmm")</f>
        <v>Nov</v>
      </c>
      <c r="Q1177" s="11">
        <v>45986</v>
      </c>
      <c r="R1177" s="8" t="s">
        <v>2659</v>
      </c>
      <c r="S1177" s="8" t="s">
        <v>70</v>
      </c>
      <c r="T1177" s="9">
        <v>6738.23</v>
      </c>
      <c r="U1177" t="s">
        <v>71</v>
      </c>
      <c r="V1177" s="8" t="s">
        <v>62</v>
      </c>
      <c r="W1177"/>
      <c r="X1177"/>
    </row>
    <row r="1178" spans="1:24" x14ac:dyDescent="0.3">
      <c r="A1178" t="s">
        <v>2660</v>
      </c>
      <c r="B1178" t="s">
        <v>56</v>
      </c>
      <c r="C1178">
        <v>27</v>
      </c>
      <c r="D1178" t="s">
        <v>92</v>
      </c>
      <c r="E1178" t="s">
        <v>93</v>
      </c>
      <c r="F1178" t="s">
        <v>92</v>
      </c>
      <c r="G1178" t="s">
        <v>39</v>
      </c>
      <c r="H1178" s="8" t="s">
        <v>40</v>
      </c>
      <c r="I1178" s="9">
        <v>56517.95</v>
      </c>
      <c r="J1178" s="9">
        <v>15042.95</v>
      </c>
      <c r="K1178" s="8" t="s">
        <v>74</v>
      </c>
      <c r="L1178" s="10">
        <v>0</v>
      </c>
      <c r="M1178" s="8" t="s">
        <v>75</v>
      </c>
      <c r="N1178" s="9">
        <v>0</v>
      </c>
      <c r="O1178" s="8" t="s">
        <v>30</v>
      </c>
      <c r="P1178" t="str">
        <f>TEXT(Table1[[#This Row],[Transaction_Date]],"mmm")</f>
        <v>Feb</v>
      </c>
      <c r="Q1178" s="11">
        <v>45702</v>
      </c>
      <c r="R1178" s="8" t="s">
        <v>2661</v>
      </c>
      <c r="S1178" s="8" t="s">
        <v>32</v>
      </c>
      <c r="T1178" s="9">
        <v>249.94</v>
      </c>
      <c r="U1178" t="s">
        <v>106</v>
      </c>
      <c r="V1178" s="8" t="s">
        <v>62</v>
      </c>
      <c r="W1178"/>
      <c r="X1178"/>
    </row>
    <row r="1179" spans="1:24" hidden="1" x14ac:dyDescent="0.3">
      <c r="A1179" t="s">
        <v>2662</v>
      </c>
      <c r="B1179" t="s">
        <v>722</v>
      </c>
      <c r="C1179">
        <v>28</v>
      </c>
      <c r="D1179" t="s">
        <v>37</v>
      </c>
      <c r="E1179" t="s">
        <v>38</v>
      </c>
      <c r="F1179" t="s">
        <v>37</v>
      </c>
      <c r="G1179" t="s">
        <v>51</v>
      </c>
      <c r="H1179" s="8" t="s">
        <v>40</v>
      </c>
      <c r="I1179" s="9">
        <v>59857.53</v>
      </c>
      <c r="J1179" s="9">
        <v>70896.89</v>
      </c>
      <c r="K1179" s="8" t="s">
        <v>41</v>
      </c>
      <c r="L1179" s="10">
        <v>25000</v>
      </c>
      <c r="M1179" s="8" t="s">
        <v>29</v>
      </c>
      <c r="N1179" s="9">
        <v>6598.43</v>
      </c>
      <c r="O1179" s="8" t="s">
        <v>30</v>
      </c>
      <c r="P1179" t="str">
        <f>TEXT(Table1[[#This Row],[Transaction_Date]],"mmm")</f>
        <v>Jul</v>
      </c>
      <c r="Q1179" s="11">
        <v>45859</v>
      </c>
      <c r="R1179" s="8" t="s">
        <v>2663</v>
      </c>
      <c r="S1179" s="8" t="s">
        <v>70</v>
      </c>
      <c r="T1179" s="9">
        <v>4721.97</v>
      </c>
      <c r="U1179" t="s">
        <v>33</v>
      </c>
      <c r="V1179" s="8" t="s">
        <v>62</v>
      </c>
      <c r="W1179"/>
      <c r="X1179"/>
    </row>
    <row r="1180" spans="1:24" hidden="1" x14ac:dyDescent="0.3">
      <c r="A1180" t="s">
        <v>2664</v>
      </c>
      <c r="B1180" t="s">
        <v>79</v>
      </c>
      <c r="C1180">
        <v>36</v>
      </c>
      <c r="D1180" t="s">
        <v>97</v>
      </c>
      <c r="E1180" t="s">
        <v>98</v>
      </c>
      <c r="F1180" t="s">
        <v>97</v>
      </c>
      <c r="G1180" t="s">
        <v>51</v>
      </c>
      <c r="H1180" s="8" t="s">
        <v>40</v>
      </c>
      <c r="I1180" s="9">
        <v>82278.5</v>
      </c>
      <c r="J1180" s="9">
        <v>60567.25</v>
      </c>
      <c r="K1180" s="8" t="s">
        <v>28</v>
      </c>
      <c r="L1180" s="10">
        <v>102747.08</v>
      </c>
      <c r="M1180" s="8" t="s">
        <v>29</v>
      </c>
      <c r="N1180" s="9">
        <v>82006.14</v>
      </c>
      <c r="O1180" s="8" t="s">
        <v>30</v>
      </c>
      <c r="P1180" t="str">
        <f>TEXT(Table1[[#This Row],[Transaction_Date]],"mmm")</f>
        <v>Dec</v>
      </c>
      <c r="Q1180" s="11">
        <v>46022</v>
      </c>
      <c r="R1180" s="8" t="s">
        <v>2665</v>
      </c>
      <c r="S1180" s="8" t="s">
        <v>54</v>
      </c>
      <c r="T1180" s="9">
        <v>1768.05</v>
      </c>
      <c r="U1180" t="s">
        <v>33</v>
      </c>
      <c r="V1180" s="8" t="s">
        <v>62</v>
      </c>
      <c r="W1180"/>
      <c r="X1180"/>
    </row>
    <row r="1181" spans="1:24" hidden="1" x14ac:dyDescent="0.3">
      <c r="A1181" t="s">
        <v>2666</v>
      </c>
      <c r="B1181" t="s">
        <v>265</v>
      </c>
      <c r="C1181">
        <v>25</v>
      </c>
      <c r="D1181" t="s">
        <v>97</v>
      </c>
      <c r="E1181" t="s">
        <v>98</v>
      </c>
      <c r="F1181" t="s">
        <v>97</v>
      </c>
      <c r="G1181" t="s">
        <v>26</v>
      </c>
      <c r="H1181" s="8" t="s">
        <v>40</v>
      </c>
      <c r="I1181" s="9">
        <v>12061.66</v>
      </c>
      <c r="J1181" s="9">
        <v>11167.38</v>
      </c>
      <c r="K1181" s="8" t="s">
        <v>52</v>
      </c>
      <c r="L1181" s="10">
        <v>84230.02</v>
      </c>
      <c r="M1181" s="8" t="s">
        <v>29</v>
      </c>
      <c r="N1181" s="9">
        <v>29991.4</v>
      </c>
      <c r="O1181" s="8" t="s">
        <v>30</v>
      </c>
      <c r="P1181" t="str">
        <f>TEXT(Table1[[#This Row],[Transaction_Date]],"mmm")</f>
        <v>Feb</v>
      </c>
      <c r="Q1181" s="11">
        <v>45702</v>
      </c>
      <c r="R1181" s="8" t="s">
        <v>2667</v>
      </c>
      <c r="S1181" s="8" t="s">
        <v>70</v>
      </c>
      <c r="T1181" s="9">
        <v>2669.37</v>
      </c>
      <c r="U1181" t="s">
        <v>45</v>
      </c>
      <c r="V1181" s="8" t="s">
        <v>62</v>
      </c>
      <c r="W1181"/>
      <c r="X1181"/>
    </row>
    <row r="1182" spans="1:24" hidden="1" x14ac:dyDescent="0.3">
      <c r="A1182" t="s">
        <v>2668</v>
      </c>
      <c r="B1182" t="s">
        <v>185</v>
      </c>
      <c r="C1182">
        <v>52</v>
      </c>
      <c r="D1182" t="s">
        <v>49</v>
      </c>
      <c r="E1182" t="s">
        <v>50</v>
      </c>
      <c r="F1182" t="s">
        <v>49</v>
      </c>
      <c r="G1182" t="s">
        <v>80</v>
      </c>
      <c r="H1182" s="8" t="s">
        <v>27</v>
      </c>
      <c r="I1182" s="9">
        <v>19760.91</v>
      </c>
      <c r="J1182" s="9">
        <v>24677.69</v>
      </c>
      <c r="K1182" s="8" t="s">
        <v>74</v>
      </c>
      <c r="L1182" s="10">
        <v>0</v>
      </c>
      <c r="M1182" s="8" t="s">
        <v>75</v>
      </c>
      <c r="N1182" s="9">
        <v>0</v>
      </c>
      <c r="O1182" s="8" t="s">
        <v>30</v>
      </c>
      <c r="P1182" t="str">
        <f>TEXT(Table1[[#This Row],[Transaction_Date]],"mmm")</f>
        <v>Mar</v>
      </c>
      <c r="Q1182" s="11">
        <v>45740</v>
      </c>
      <c r="R1182" s="8" t="s">
        <v>2669</v>
      </c>
      <c r="S1182" s="8" t="s">
        <v>32</v>
      </c>
      <c r="T1182" s="9">
        <v>1372.13</v>
      </c>
      <c r="U1182" t="s">
        <v>106</v>
      </c>
      <c r="V1182" s="8" t="s">
        <v>62</v>
      </c>
      <c r="W1182"/>
      <c r="X1182"/>
    </row>
    <row r="1183" spans="1:24" x14ac:dyDescent="0.3">
      <c r="A1183" t="s">
        <v>2670</v>
      </c>
      <c r="B1183" t="s">
        <v>646</v>
      </c>
      <c r="C1183">
        <v>26</v>
      </c>
      <c r="D1183" t="s">
        <v>65</v>
      </c>
      <c r="E1183" t="s">
        <v>66</v>
      </c>
      <c r="F1183" t="s">
        <v>65</v>
      </c>
      <c r="G1183" t="s">
        <v>39</v>
      </c>
      <c r="H1183" s="8" t="s">
        <v>40</v>
      </c>
      <c r="I1183" s="9">
        <v>53785.21</v>
      </c>
      <c r="J1183" s="9">
        <v>32427.61</v>
      </c>
      <c r="K1183" s="8" t="s">
        <v>28</v>
      </c>
      <c r="L1183" s="10">
        <v>283289.84999999998</v>
      </c>
      <c r="M1183" s="8" t="s">
        <v>42</v>
      </c>
      <c r="N1183" s="9">
        <v>0</v>
      </c>
      <c r="O1183" s="8" t="s">
        <v>30</v>
      </c>
      <c r="P1183" t="str">
        <f>TEXT(Table1[[#This Row],[Transaction_Date]],"mmm")</f>
        <v>Dec</v>
      </c>
      <c r="Q1183" s="11">
        <v>46022</v>
      </c>
      <c r="R1183" s="8" t="s">
        <v>2671</v>
      </c>
      <c r="S1183" s="8" t="s">
        <v>44</v>
      </c>
      <c r="T1183" s="9">
        <v>853.12</v>
      </c>
      <c r="U1183" t="s">
        <v>77</v>
      </c>
      <c r="V1183" s="8" t="s">
        <v>62</v>
      </c>
      <c r="W1183"/>
      <c r="X1183"/>
    </row>
    <row r="1184" spans="1:24" x14ac:dyDescent="0.3">
      <c r="A1184" t="s">
        <v>2672</v>
      </c>
      <c r="B1184" t="s">
        <v>1065</v>
      </c>
      <c r="C1184">
        <v>23</v>
      </c>
      <c r="D1184" t="s">
        <v>49</v>
      </c>
      <c r="E1184" t="s">
        <v>50</v>
      </c>
      <c r="F1184" t="s">
        <v>49</v>
      </c>
      <c r="G1184" t="s">
        <v>39</v>
      </c>
      <c r="H1184" s="8" t="s">
        <v>51</v>
      </c>
      <c r="I1184" s="9">
        <v>76074.39</v>
      </c>
      <c r="J1184" s="9">
        <v>98572.18</v>
      </c>
      <c r="K1184" s="8" t="s">
        <v>68</v>
      </c>
      <c r="L1184" s="10">
        <v>41061.67</v>
      </c>
      <c r="M1184" s="8" t="s">
        <v>29</v>
      </c>
      <c r="N1184" s="9">
        <v>37822.03</v>
      </c>
      <c r="O1184" s="8" t="s">
        <v>30</v>
      </c>
      <c r="P1184" t="str">
        <f>TEXT(Table1[[#This Row],[Transaction_Date]],"mmm")</f>
        <v>Feb</v>
      </c>
      <c r="Q1184" s="11">
        <v>45710</v>
      </c>
      <c r="R1184" s="8" t="s">
        <v>2673</v>
      </c>
      <c r="S1184" s="8" t="s">
        <v>54</v>
      </c>
      <c r="T1184" s="9">
        <v>4944.1099999999997</v>
      </c>
      <c r="U1184" t="s">
        <v>61</v>
      </c>
      <c r="V1184" s="8" t="s">
        <v>62</v>
      </c>
      <c r="W1184"/>
      <c r="X1184"/>
    </row>
    <row r="1185" spans="1:24" hidden="1" x14ac:dyDescent="0.3">
      <c r="A1185" t="s">
        <v>2674</v>
      </c>
      <c r="B1185" t="s">
        <v>832</v>
      </c>
      <c r="C1185">
        <v>44</v>
      </c>
      <c r="D1185" t="s">
        <v>97</v>
      </c>
      <c r="E1185" t="s">
        <v>98</v>
      </c>
      <c r="F1185" t="s">
        <v>97</v>
      </c>
      <c r="G1185" t="s">
        <v>80</v>
      </c>
      <c r="H1185" s="8" t="s">
        <v>51</v>
      </c>
      <c r="I1185" s="9">
        <v>19024.150000000001</v>
      </c>
      <c r="J1185" s="9">
        <v>20244.689999999999</v>
      </c>
      <c r="K1185" s="8" t="s">
        <v>59</v>
      </c>
      <c r="L1185" s="10">
        <v>165551.03</v>
      </c>
      <c r="M1185" s="8" t="s">
        <v>29</v>
      </c>
      <c r="N1185" s="9">
        <v>135790.35999999999</v>
      </c>
      <c r="O1185" s="8" t="s">
        <v>30</v>
      </c>
      <c r="P1185" t="str">
        <f>TEXT(Table1[[#This Row],[Transaction_Date]],"mmm")</f>
        <v>Nov</v>
      </c>
      <c r="Q1185" s="11">
        <v>45983</v>
      </c>
      <c r="R1185" s="8" t="s">
        <v>2675</v>
      </c>
      <c r="S1185" s="8" t="s">
        <v>70</v>
      </c>
      <c r="T1185" s="9">
        <v>3652.96</v>
      </c>
      <c r="U1185" t="s">
        <v>71</v>
      </c>
      <c r="V1185" s="8" t="s">
        <v>62</v>
      </c>
      <c r="W1185"/>
      <c r="X1185"/>
    </row>
    <row r="1186" spans="1:24" hidden="1" x14ac:dyDescent="0.3">
      <c r="A1186" t="s">
        <v>2676</v>
      </c>
      <c r="B1186" t="s">
        <v>412</v>
      </c>
      <c r="C1186">
        <v>51</v>
      </c>
      <c r="D1186" t="s">
        <v>49</v>
      </c>
      <c r="E1186" t="s">
        <v>50</v>
      </c>
      <c r="F1186" t="s">
        <v>49</v>
      </c>
      <c r="G1186" t="s">
        <v>26</v>
      </c>
      <c r="H1186" s="8" t="s">
        <v>51</v>
      </c>
      <c r="I1186" s="9">
        <v>84960.88</v>
      </c>
      <c r="J1186" s="9">
        <v>19931.7</v>
      </c>
      <c r="K1186" s="8" t="s">
        <v>59</v>
      </c>
      <c r="L1186" s="10">
        <v>98749.89</v>
      </c>
      <c r="M1186" s="8" t="s">
        <v>29</v>
      </c>
      <c r="N1186" s="9">
        <v>65378.95</v>
      </c>
      <c r="O1186" s="8" t="s">
        <v>228</v>
      </c>
      <c r="P1186" t="str">
        <f>TEXT(Table1[[#This Row],[Transaction_Date]],"mmm")</f>
        <v>May</v>
      </c>
      <c r="Q1186" s="11">
        <v>45797</v>
      </c>
      <c r="R1186" s="8" t="s">
        <v>2677</v>
      </c>
      <c r="S1186" s="8" t="s">
        <v>54</v>
      </c>
      <c r="T1186" s="9">
        <v>2009.9</v>
      </c>
      <c r="U1186" t="s">
        <v>33</v>
      </c>
      <c r="V1186" s="8" t="s">
        <v>62</v>
      </c>
      <c r="W1186"/>
      <c r="X1186"/>
    </row>
    <row r="1187" spans="1:24" hidden="1" x14ac:dyDescent="0.3">
      <c r="A1187" t="s">
        <v>2678</v>
      </c>
      <c r="B1187" t="s">
        <v>246</v>
      </c>
      <c r="C1187">
        <v>26</v>
      </c>
      <c r="D1187" t="s">
        <v>24</v>
      </c>
      <c r="E1187" t="s">
        <v>25</v>
      </c>
      <c r="F1187" t="s">
        <v>24</v>
      </c>
      <c r="G1187" t="s">
        <v>80</v>
      </c>
      <c r="H1187" s="8" t="s">
        <v>67</v>
      </c>
      <c r="I1187" s="9">
        <v>12000</v>
      </c>
      <c r="J1187" s="9">
        <v>18762.009999999998</v>
      </c>
      <c r="K1187" s="8" t="s">
        <v>52</v>
      </c>
      <c r="L1187" s="10">
        <v>60738.26</v>
      </c>
      <c r="M1187" s="8" t="s">
        <v>29</v>
      </c>
      <c r="N1187" s="9">
        <v>16008.57</v>
      </c>
      <c r="O1187" s="8" t="s">
        <v>30</v>
      </c>
      <c r="P1187" t="str">
        <f>TEXT(Table1[[#This Row],[Transaction_Date]],"mmm")</f>
        <v>Nov</v>
      </c>
      <c r="Q1187" s="11">
        <v>45972</v>
      </c>
      <c r="R1187" s="8" t="s">
        <v>2679</v>
      </c>
      <c r="S1187" s="8" t="s">
        <v>54</v>
      </c>
      <c r="T1187" s="9">
        <v>2131.9299999999998</v>
      </c>
      <c r="U1187" t="s">
        <v>77</v>
      </c>
      <c r="V1187" s="8" t="s">
        <v>62</v>
      </c>
      <c r="W1187"/>
      <c r="X1187"/>
    </row>
    <row r="1188" spans="1:24" x14ac:dyDescent="0.3">
      <c r="A1188" t="s">
        <v>2680</v>
      </c>
      <c r="B1188" t="s">
        <v>1182</v>
      </c>
      <c r="C1188">
        <v>44</v>
      </c>
      <c r="D1188" t="s">
        <v>65</v>
      </c>
      <c r="E1188" t="s">
        <v>66</v>
      </c>
      <c r="F1188" t="s">
        <v>65</v>
      </c>
      <c r="G1188" t="s">
        <v>39</v>
      </c>
      <c r="H1188" s="8" t="s">
        <v>40</v>
      </c>
      <c r="I1188" s="9">
        <v>46856.56</v>
      </c>
      <c r="J1188" s="9">
        <v>25916.47</v>
      </c>
      <c r="K1188" s="8" t="s">
        <v>68</v>
      </c>
      <c r="L1188" s="10">
        <v>97334.49</v>
      </c>
      <c r="M1188" s="8" t="s">
        <v>29</v>
      </c>
      <c r="N1188" s="9">
        <v>88836.06</v>
      </c>
      <c r="O1188" s="8" t="s">
        <v>30</v>
      </c>
      <c r="P1188" t="str">
        <f>TEXT(Table1[[#This Row],[Transaction_Date]],"mmm")</f>
        <v>Feb</v>
      </c>
      <c r="Q1188" s="11">
        <v>45707</v>
      </c>
      <c r="R1188" s="8" t="s">
        <v>2681</v>
      </c>
      <c r="S1188" s="8" t="s">
        <v>44</v>
      </c>
      <c r="T1188" s="9">
        <v>5761.46</v>
      </c>
      <c r="U1188" t="s">
        <v>71</v>
      </c>
      <c r="V1188" s="8" t="s">
        <v>62</v>
      </c>
      <c r="W1188"/>
      <c r="X1188"/>
    </row>
    <row r="1189" spans="1:24" x14ac:dyDescent="0.3">
      <c r="A1189" t="s">
        <v>2682</v>
      </c>
      <c r="B1189" t="s">
        <v>415</v>
      </c>
      <c r="C1189">
        <v>44</v>
      </c>
      <c r="D1189" t="s">
        <v>92</v>
      </c>
      <c r="E1189" t="s">
        <v>93</v>
      </c>
      <c r="F1189" t="s">
        <v>92</v>
      </c>
      <c r="G1189" t="s">
        <v>39</v>
      </c>
      <c r="H1189" s="8" t="s">
        <v>67</v>
      </c>
      <c r="I1189" s="9">
        <v>48892.85</v>
      </c>
      <c r="J1189" s="9">
        <v>20170.5</v>
      </c>
      <c r="K1189" s="8" t="s">
        <v>68</v>
      </c>
      <c r="L1189" s="10">
        <v>62732.47</v>
      </c>
      <c r="M1189" s="8" t="s">
        <v>29</v>
      </c>
      <c r="N1189" s="9">
        <v>32934.959999999999</v>
      </c>
      <c r="O1189" s="8" t="s">
        <v>228</v>
      </c>
      <c r="P1189" t="str">
        <f>TEXT(Table1[[#This Row],[Transaction_Date]],"mmm")</f>
        <v>Sep</v>
      </c>
      <c r="Q1189" s="11">
        <v>45928</v>
      </c>
      <c r="R1189" s="8" t="s">
        <v>2683</v>
      </c>
      <c r="S1189" s="8" t="s">
        <v>32</v>
      </c>
      <c r="T1189" s="9">
        <v>8159.64</v>
      </c>
      <c r="U1189" t="s">
        <v>71</v>
      </c>
      <c r="V1189" s="8" t="s">
        <v>62</v>
      </c>
      <c r="W1189"/>
      <c r="X1189"/>
    </row>
    <row r="1190" spans="1:24" hidden="1" x14ac:dyDescent="0.3">
      <c r="A1190" t="s">
        <v>2684</v>
      </c>
      <c r="B1190" t="s">
        <v>659</v>
      </c>
      <c r="C1190">
        <v>20</v>
      </c>
      <c r="D1190" t="s">
        <v>92</v>
      </c>
      <c r="E1190" t="s">
        <v>93</v>
      </c>
      <c r="F1190" t="s">
        <v>92</v>
      </c>
      <c r="G1190" t="s">
        <v>51</v>
      </c>
      <c r="H1190" s="8" t="s">
        <v>27</v>
      </c>
      <c r="I1190" s="9">
        <v>101194.56</v>
      </c>
      <c r="J1190" s="9">
        <v>4418.04</v>
      </c>
      <c r="K1190" s="8" t="s">
        <v>74</v>
      </c>
      <c r="L1190" s="10">
        <v>0</v>
      </c>
      <c r="M1190" s="8" t="s">
        <v>75</v>
      </c>
      <c r="N1190" s="9">
        <v>0</v>
      </c>
      <c r="O1190" s="8" t="s">
        <v>30</v>
      </c>
      <c r="P1190" t="str">
        <f>TEXT(Table1[[#This Row],[Transaction_Date]],"mmm")</f>
        <v>Feb</v>
      </c>
      <c r="Q1190" s="11">
        <v>45694</v>
      </c>
      <c r="R1190" s="8" t="s">
        <v>2685</v>
      </c>
      <c r="S1190" s="8" t="s">
        <v>44</v>
      </c>
      <c r="T1190" s="9">
        <v>2078.5700000000002</v>
      </c>
      <c r="U1190" t="s">
        <v>61</v>
      </c>
      <c r="V1190" s="8" t="s">
        <v>62</v>
      </c>
      <c r="W1190"/>
      <c r="X1190"/>
    </row>
    <row r="1191" spans="1:24" hidden="1" x14ac:dyDescent="0.3">
      <c r="A1191" t="s">
        <v>2686</v>
      </c>
      <c r="B1191" t="s">
        <v>36</v>
      </c>
      <c r="C1191">
        <v>56</v>
      </c>
      <c r="D1191" t="s">
        <v>24</v>
      </c>
      <c r="E1191" t="s">
        <v>25</v>
      </c>
      <c r="F1191" t="s">
        <v>24</v>
      </c>
      <c r="G1191" t="s">
        <v>26</v>
      </c>
      <c r="H1191" s="8" t="s">
        <v>51</v>
      </c>
      <c r="I1191" s="9">
        <v>32843.56</v>
      </c>
      <c r="J1191" s="9">
        <v>92081.87</v>
      </c>
      <c r="K1191" s="8" t="s">
        <v>59</v>
      </c>
      <c r="L1191" s="10">
        <v>56674.53</v>
      </c>
      <c r="M1191" s="8" t="s">
        <v>29</v>
      </c>
      <c r="N1191" s="9">
        <v>46077.63</v>
      </c>
      <c r="O1191" s="8" t="s">
        <v>30</v>
      </c>
      <c r="P1191" t="str">
        <f>TEXT(Table1[[#This Row],[Transaction_Date]],"mmm")</f>
        <v>Apr</v>
      </c>
      <c r="Q1191" s="11">
        <v>45776</v>
      </c>
      <c r="R1191" s="8" t="s">
        <v>2687</v>
      </c>
      <c r="S1191" s="8" t="s">
        <v>32</v>
      </c>
      <c r="T1191" s="9">
        <v>3307.48</v>
      </c>
      <c r="U1191" t="s">
        <v>61</v>
      </c>
      <c r="V1191" s="8" t="s">
        <v>62</v>
      </c>
      <c r="W1191"/>
      <c r="X1191"/>
    </row>
    <row r="1192" spans="1:24" hidden="1" x14ac:dyDescent="0.3">
      <c r="A1192" t="s">
        <v>2688</v>
      </c>
      <c r="B1192" t="s">
        <v>2689</v>
      </c>
      <c r="C1192">
        <v>18</v>
      </c>
      <c r="D1192" t="s">
        <v>49</v>
      </c>
      <c r="E1192" t="s">
        <v>50</v>
      </c>
      <c r="F1192" t="s">
        <v>49</v>
      </c>
      <c r="G1192" t="s">
        <v>51</v>
      </c>
      <c r="H1192" s="8" t="s">
        <v>67</v>
      </c>
      <c r="I1192" s="9">
        <v>15321.06</v>
      </c>
      <c r="J1192" s="9">
        <v>146641.45000000001</v>
      </c>
      <c r="K1192" s="8" t="s">
        <v>28</v>
      </c>
      <c r="L1192" s="10">
        <v>26541.35</v>
      </c>
      <c r="M1192" s="8" t="s">
        <v>29</v>
      </c>
      <c r="N1192" s="9">
        <v>22187.33</v>
      </c>
      <c r="O1192" s="8" t="s">
        <v>30</v>
      </c>
      <c r="P1192" t="str">
        <f>TEXT(Table1[[#This Row],[Transaction_Date]],"mmm")</f>
        <v>Apr</v>
      </c>
      <c r="Q1192" s="11">
        <v>45748</v>
      </c>
      <c r="R1192" s="8" t="s">
        <v>2690</v>
      </c>
      <c r="S1192" s="8" t="s">
        <v>32</v>
      </c>
      <c r="T1192" s="9">
        <v>3908.96</v>
      </c>
      <c r="U1192" t="s">
        <v>33</v>
      </c>
      <c r="V1192" s="8" t="s">
        <v>62</v>
      </c>
      <c r="W1192"/>
      <c r="X1192"/>
    </row>
    <row r="1193" spans="1:24" hidden="1" x14ac:dyDescent="0.3">
      <c r="A1193" t="s">
        <v>2691</v>
      </c>
      <c r="B1193" t="s">
        <v>129</v>
      </c>
      <c r="C1193">
        <v>34</v>
      </c>
      <c r="D1193" t="s">
        <v>84</v>
      </c>
      <c r="E1193" t="s">
        <v>85</v>
      </c>
      <c r="F1193" t="s">
        <v>84</v>
      </c>
      <c r="G1193" t="s">
        <v>80</v>
      </c>
      <c r="H1193" s="8" t="s">
        <v>40</v>
      </c>
      <c r="I1193" s="9">
        <v>31436.41</v>
      </c>
      <c r="J1193" s="9">
        <v>19332.400000000001</v>
      </c>
      <c r="K1193" s="8" t="s">
        <v>74</v>
      </c>
      <c r="L1193" s="10">
        <v>0</v>
      </c>
      <c r="M1193" s="8" t="s">
        <v>75</v>
      </c>
      <c r="N1193" s="9">
        <v>0</v>
      </c>
      <c r="O1193" s="8" t="s">
        <v>30</v>
      </c>
      <c r="P1193" t="str">
        <f>TEXT(Table1[[#This Row],[Transaction_Date]],"mmm")</f>
        <v>Nov</v>
      </c>
      <c r="Q1193" s="11">
        <v>45989</v>
      </c>
      <c r="R1193" s="8" t="s">
        <v>2692</v>
      </c>
      <c r="S1193" s="8" t="s">
        <v>32</v>
      </c>
      <c r="T1193" s="9">
        <v>3923.51</v>
      </c>
      <c r="U1193" t="s">
        <v>71</v>
      </c>
      <c r="V1193" s="8" t="s">
        <v>62</v>
      </c>
      <c r="W1193"/>
      <c r="X1193"/>
    </row>
    <row r="1194" spans="1:24" hidden="1" x14ac:dyDescent="0.3">
      <c r="A1194" t="s">
        <v>2693</v>
      </c>
      <c r="B1194" t="s">
        <v>117</v>
      </c>
      <c r="C1194">
        <v>34</v>
      </c>
      <c r="D1194" t="s">
        <v>24</v>
      </c>
      <c r="E1194" t="s">
        <v>25</v>
      </c>
      <c r="F1194" t="s">
        <v>24</v>
      </c>
      <c r="G1194" t="s">
        <v>80</v>
      </c>
      <c r="H1194" s="8" t="s">
        <v>40</v>
      </c>
      <c r="I1194" s="9">
        <v>39040.04</v>
      </c>
      <c r="J1194" s="9">
        <v>15082.93</v>
      </c>
      <c r="K1194" s="8" t="s">
        <v>74</v>
      </c>
      <c r="L1194" s="10">
        <v>0</v>
      </c>
      <c r="M1194" s="8" t="s">
        <v>75</v>
      </c>
      <c r="N1194" s="9">
        <v>0</v>
      </c>
      <c r="O1194" s="8" t="s">
        <v>30</v>
      </c>
      <c r="P1194" t="str">
        <f>TEXT(Table1[[#This Row],[Transaction_Date]],"mmm")</f>
        <v>Jan</v>
      </c>
      <c r="Q1194" s="11">
        <v>45667</v>
      </c>
      <c r="R1194" s="8" t="s">
        <v>2694</v>
      </c>
      <c r="S1194" s="8" t="s">
        <v>70</v>
      </c>
      <c r="T1194" s="9">
        <v>311.02999999999997</v>
      </c>
      <c r="U1194" t="s">
        <v>71</v>
      </c>
      <c r="V1194" s="8" t="s">
        <v>34</v>
      </c>
      <c r="W1194"/>
      <c r="X1194"/>
    </row>
    <row r="1195" spans="1:24" hidden="1" x14ac:dyDescent="0.3">
      <c r="A1195" t="s">
        <v>2695</v>
      </c>
      <c r="B1195" t="s">
        <v>1029</v>
      </c>
      <c r="C1195">
        <v>36</v>
      </c>
      <c r="D1195" t="s">
        <v>97</v>
      </c>
      <c r="E1195" t="s">
        <v>98</v>
      </c>
      <c r="F1195" t="s">
        <v>97</v>
      </c>
      <c r="G1195" t="s">
        <v>80</v>
      </c>
      <c r="H1195" s="8" t="s">
        <v>51</v>
      </c>
      <c r="I1195" s="9">
        <v>74419.56</v>
      </c>
      <c r="J1195" s="9">
        <v>51653.08</v>
      </c>
      <c r="K1195" s="8" t="s">
        <v>74</v>
      </c>
      <c r="L1195" s="10">
        <v>0</v>
      </c>
      <c r="M1195" s="8" t="s">
        <v>75</v>
      </c>
      <c r="N1195" s="9">
        <v>0</v>
      </c>
      <c r="O1195" s="8" t="s">
        <v>30</v>
      </c>
      <c r="P1195" t="str">
        <f>TEXT(Table1[[#This Row],[Transaction_Date]],"mmm")</f>
        <v>Feb</v>
      </c>
      <c r="Q1195" s="11">
        <v>45709</v>
      </c>
      <c r="R1195" s="8" t="s">
        <v>2696</v>
      </c>
      <c r="S1195" s="8" t="s">
        <v>44</v>
      </c>
      <c r="T1195" s="9">
        <v>6138.98</v>
      </c>
      <c r="U1195" t="s">
        <v>45</v>
      </c>
      <c r="V1195" s="8" t="s">
        <v>62</v>
      </c>
      <c r="W1195"/>
      <c r="X1195"/>
    </row>
    <row r="1196" spans="1:24" hidden="1" x14ac:dyDescent="0.3">
      <c r="A1196" t="s">
        <v>2697</v>
      </c>
      <c r="B1196" t="s">
        <v>251</v>
      </c>
      <c r="C1196">
        <v>47</v>
      </c>
      <c r="D1196" t="s">
        <v>57</v>
      </c>
      <c r="E1196" t="s">
        <v>58</v>
      </c>
      <c r="F1196" t="s">
        <v>57</v>
      </c>
      <c r="G1196" t="s">
        <v>26</v>
      </c>
      <c r="H1196" s="8" t="s">
        <v>27</v>
      </c>
      <c r="I1196" s="9">
        <v>36673.82</v>
      </c>
      <c r="J1196" s="9">
        <v>36185.480000000003</v>
      </c>
      <c r="K1196" s="8" t="s">
        <v>74</v>
      </c>
      <c r="L1196" s="10">
        <v>0</v>
      </c>
      <c r="M1196" s="8" t="s">
        <v>75</v>
      </c>
      <c r="N1196" s="9">
        <v>0</v>
      </c>
      <c r="O1196" s="8" t="s">
        <v>30</v>
      </c>
      <c r="P1196" t="str">
        <f>TEXT(Table1[[#This Row],[Transaction_Date]],"mmm")</f>
        <v>Feb</v>
      </c>
      <c r="Q1196" s="11">
        <v>45698</v>
      </c>
      <c r="R1196" s="8" t="s">
        <v>2698</v>
      </c>
      <c r="S1196" s="8" t="s">
        <v>70</v>
      </c>
      <c r="T1196" s="9">
        <v>12276.36</v>
      </c>
      <c r="U1196" t="s">
        <v>45</v>
      </c>
      <c r="V1196" s="8" t="s">
        <v>62</v>
      </c>
      <c r="W1196"/>
      <c r="X1196"/>
    </row>
    <row r="1197" spans="1:24" hidden="1" x14ac:dyDescent="0.3">
      <c r="A1197" t="s">
        <v>2699</v>
      </c>
      <c r="B1197" t="s">
        <v>338</v>
      </c>
      <c r="C1197">
        <v>48</v>
      </c>
      <c r="D1197" t="s">
        <v>49</v>
      </c>
      <c r="E1197" t="s">
        <v>50</v>
      </c>
      <c r="F1197" t="s">
        <v>49</v>
      </c>
      <c r="G1197" t="s">
        <v>26</v>
      </c>
      <c r="H1197" s="8" t="s">
        <v>40</v>
      </c>
      <c r="I1197" s="9">
        <v>36347.279999999999</v>
      </c>
      <c r="J1197" s="9">
        <v>39100.35</v>
      </c>
      <c r="K1197" s="8" t="s">
        <v>74</v>
      </c>
      <c r="L1197" s="10">
        <v>0</v>
      </c>
      <c r="M1197" s="8" t="s">
        <v>75</v>
      </c>
      <c r="N1197" s="9">
        <v>0</v>
      </c>
      <c r="O1197" s="8" t="s">
        <v>30</v>
      </c>
      <c r="P1197" t="str">
        <f>TEXT(Table1[[#This Row],[Transaction_Date]],"mmm")</f>
        <v>Jan</v>
      </c>
      <c r="Q1197" s="11">
        <v>45676</v>
      </c>
      <c r="R1197" s="8" t="s">
        <v>2700</v>
      </c>
      <c r="S1197" s="8" t="s">
        <v>44</v>
      </c>
      <c r="T1197" s="9">
        <v>2542.59</v>
      </c>
      <c r="U1197" t="s">
        <v>61</v>
      </c>
      <c r="V1197" s="8" t="s">
        <v>62</v>
      </c>
      <c r="W1197"/>
      <c r="X1197"/>
    </row>
    <row r="1198" spans="1:24" x14ac:dyDescent="0.3">
      <c r="A1198" t="s">
        <v>2701</v>
      </c>
      <c r="B1198" t="s">
        <v>812</v>
      </c>
      <c r="C1198">
        <v>29</v>
      </c>
      <c r="D1198" t="s">
        <v>65</v>
      </c>
      <c r="E1198" t="s">
        <v>66</v>
      </c>
      <c r="F1198" t="s">
        <v>65</v>
      </c>
      <c r="G1198" t="s">
        <v>39</v>
      </c>
      <c r="H1198" s="8" t="s">
        <v>40</v>
      </c>
      <c r="I1198" s="9">
        <v>76254.039999999994</v>
      </c>
      <c r="J1198" s="9">
        <v>10336.09</v>
      </c>
      <c r="K1198" s="8" t="s">
        <v>59</v>
      </c>
      <c r="L1198" s="10">
        <v>91145.34</v>
      </c>
      <c r="M1198" s="8" t="s">
        <v>29</v>
      </c>
      <c r="N1198" s="9">
        <v>62163.02</v>
      </c>
      <c r="O1198" s="8" t="s">
        <v>30</v>
      </c>
      <c r="P1198" t="str">
        <f>TEXT(Table1[[#This Row],[Transaction_Date]],"mmm")</f>
        <v>Mar</v>
      </c>
      <c r="Q1198" s="11">
        <v>45726</v>
      </c>
      <c r="R1198" s="8" t="s">
        <v>2702</v>
      </c>
      <c r="S1198" s="8" t="s">
        <v>44</v>
      </c>
      <c r="T1198" s="9">
        <v>368.1</v>
      </c>
      <c r="U1198" t="s">
        <v>77</v>
      </c>
      <c r="V1198" s="8" t="s">
        <v>62</v>
      </c>
      <c r="W1198"/>
      <c r="X1198"/>
    </row>
    <row r="1199" spans="1:24" x14ac:dyDescent="0.3">
      <c r="A1199" t="s">
        <v>2703</v>
      </c>
      <c r="B1199" t="s">
        <v>1045</v>
      </c>
      <c r="C1199">
        <v>56</v>
      </c>
      <c r="D1199" t="s">
        <v>65</v>
      </c>
      <c r="E1199" t="s">
        <v>66</v>
      </c>
      <c r="F1199" t="s">
        <v>65</v>
      </c>
      <c r="G1199" t="s">
        <v>39</v>
      </c>
      <c r="H1199" s="8" t="s">
        <v>51</v>
      </c>
      <c r="I1199" s="9">
        <v>52166.38</v>
      </c>
      <c r="J1199" s="9">
        <v>34528.71</v>
      </c>
      <c r="K1199" s="8" t="s">
        <v>74</v>
      </c>
      <c r="L1199" s="10">
        <v>0</v>
      </c>
      <c r="M1199" s="8" t="s">
        <v>75</v>
      </c>
      <c r="N1199" s="9">
        <v>0</v>
      </c>
      <c r="O1199" s="8" t="s">
        <v>30</v>
      </c>
      <c r="P1199" t="str">
        <f>TEXT(Table1[[#This Row],[Transaction_Date]],"mmm")</f>
        <v>Dec</v>
      </c>
      <c r="Q1199" s="11">
        <v>46004</v>
      </c>
      <c r="R1199" s="8" t="s">
        <v>2704</v>
      </c>
      <c r="S1199" s="8" t="s">
        <v>32</v>
      </c>
      <c r="T1199" s="9">
        <v>25097.56</v>
      </c>
      <c r="U1199" t="s">
        <v>61</v>
      </c>
      <c r="V1199" s="8" t="s">
        <v>34</v>
      </c>
      <c r="W1199"/>
      <c r="X1199"/>
    </row>
    <row r="1200" spans="1:24" hidden="1" x14ac:dyDescent="0.3">
      <c r="A1200" t="s">
        <v>2705</v>
      </c>
      <c r="B1200" t="s">
        <v>729</v>
      </c>
      <c r="C1200">
        <v>18</v>
      </c>
      <c r="D1200" t="s">
        <v>97</v>
      </c>
      <c r="E1200" t="s">
        <v>98</v>
      </c>
      <c r="F1200" t="s">
        <v>97</v>
      </c>
      <c r="G1200" t="s">
        <v>80</v>
      </c>
      <c r="H1200" s="8" t="s">
        <v>40</v>
      </c>
      <c r="I1200" s="9">
        <v>49505</v>
      </c>
      <c r="J1200" s="9">
        <v>2926.12</v>
      </c>
      <c r="K1200" s="8" t="s">
        <v>68</v>
      </c>
      <c r="L1200" s="10">
        <v>89001.13</v>
      </c>
      <c r="M1200" s="8" t="s">
        <v>29</v>
      </c>
      <c r="N1200" s="9">
        <v>65460.51</v>
      </c>
      <c r="O1200" s="8" t="s">
        <v>30</v>
      </c>
      <c r="P1200" t="str">
        <f>TEXT(Table1[[#This Row],[Transaction_Date]],"mmm")</f>
        <v>Apr</v>
      </c>
      <c r="Q1200" s="11">
        <v>45766</v>
      </c>
      <c r="R1200" s="8" t="s">
        <v>2706</v>
      </c>
      <c r="S1200" s="8" t="s">
        <v>70</v>
      </c>
      <c r="T1200" s="9">
        <v>3360.86</v>
      </c>
      <c r="U1200" t="s">
        <v>33</v>
      </c>
      <c r="V1200" s="8" t="s">
        <v>62</v>
      </c>
      <c r="W1200"/>
      <c r="X1200"/>
    </row>
    <row r="1201" spans="1:24" x14ac:dyDescent="0.3">
      <c r="A1201" t="s">
        <v>2707</v>
      </c>
      <c r="B1201" t="s">
        <v>957</v>
      </c>
      <c r="C1201">
        <v>58</v>
      </c>
      <c r="D1201" t="s">
        <v>92</v>
      </c>
      <c r="E1201" t="s">
        <v>93</v>
      </c>
      <c r="F1201" t="s">
        <v>92</v>
      </c>
      <c r="G1201" t="s">
        <v>39</v>
      </c>
      <c r="H1201" s="8" t="s">
        <v>40</v>
      </c>
      <c r="I1201" s="9">
        <v>53601.37</v>
      </c>
      <c r="J1201" s="9">
        <v>6525.93</v>
      </c>
      <c r="K1201" s="8" t="s">
        <v>74</v>
      </c>
      <c r="L1201" s="10">
        <v>0</v>
      </c>
      <c r="M1201" s="8" t="s">
        <v>75</v>
      </c>
      <c r="N1201" s="9">
        <v>0</v>
      </c>
      <c r="O1201" s="8" t="s">
        <v>30</v>
      </c>
      <c r="P1201" t="str">
        <f>TEXT(Table1[[#This Row],[Transaction_Date]],"mmm")</f>
        <v>Jan</v>
      </c>
      <c r="Q1201" s="11">
        <v>45660</v>
      </c>
      <c r="R1201" s="8" t="s">
        <v>2708</v>
      </c>
      <c r="S1201" s="8" t="s">
        <v>54</v>
      </c>
      <c r="T1201" s="9">
        <v>6102.94</v>
      </c>
      <c r="U1201" t="s">
        <v>61</v>
      </c>
      <c r="V1201" s="8" t="s">
        <v>62</v>
      </c>
      <c r="W1201"/>
      <c r="X1201"/>
    </row>
    <row r="1202" spans="1:24" x14ac:dyDescent="0.3">
      <c r="J1202"/>
      <c r="K1202"/>
      <c r="L1202"/>
      <c r="N1202"/>
      <c r="P1202"/>
      <c r="Q1202"/>
      <c r="S1202"/>
      <c r="T1202"/>
      <c r="U1202"/>
      <c r="W1202"/>
      <c r="X1202"/>
    </row>
    <row r="1203" spans="1:24" x14ac:dyDescent="0.3">
      <c r="J1203"/>
      <c r="K1203"/>
      <c r="L1203"/>
      <c r="N1203"/>
      <c r="P1203"/>
      <c r="Q1203"/>
      <c r="S1203"/>
      <c r="T1203"/>
      <c r="U1203"/>
      <c r="W1203"/>
      <c r="X1203"/>
    </row>
    <row r="1204" spans="1:24" x14ac:dyDescent="0.3">
      <c r="J1204"/>
      <c r="K1204"/>
      <c r="L1204"/>
      <c r="N1204"/>
      <c r="P1204"/>
      <c r="Q1204"/>
      <c r="S1204"/>
      <c r="T1204"/>
      <c r="U1204"/>
      <c r="W1204"/>
      <c r="X1204"/>
    </row>
    <row r="1205" spans="1:24" x14ac:dyDescent="0.3">
      <c r="J1205"/>
      <c r="K1205"/>
      <c r="L1205"/>
      <c r="N1205"/>
      <c r="P1205"/>
      <c r="Q1205"/>
      <c r="S1205"/>
      <c r="T1205"/>
      <c r="U1205"/>
      <c r="W1205"/>
      <c r="X1205"/>
    </row>
    <row r="1206" spans="1:24" x14ac:dyDescent="0.3">
      <c r="J1206"/>
      <c r="K1206"/>
      <c r="L1206"/>
      <c r="N1206"/>
      <c r="P1206"/>
      <c r="Q1206"/>
      <c r="S1206"/>
      <c r="T1206"/>
      <c r="U1206"/>
      <c r="W1206"/>
      <c r="X1206"/>
    </row>
    <row r="1207" spans="1:24" x14ac:dyDescent="0.3">
      <c r="J1207"/>
      <c r="K1207"/>
      <c r="L1207"/>
      <c r="N1207"/>
      <c r="P1207"/>
      <c r="Q1207"/>
      <c r="S1207"/>
      <c r="T1207"/>
      <c r="U1207"/>
      <c r="W1207"/>
      <c r="X1207"/>
    </row>
    <row r="1208" spans="1:24" x14ac:dyDescent="0.3">
      <c r="J1208"/>
      <c r="K1208"/>
      <c r="L1208"/>
      <c r="N1208"/>
      <c r="P1208"/>
      <c r="Q1208"/>
      <c r="S1208"/>
      <c r="T1208"/>
      <c r="U1208"/>
      <c r="W1208"/>
      <c r="X1208"/>
    </row>
    <row r="1209" spans="1:24" x14ac:dyDescent="0.3">
      <c r="J1209"/>
      <c r="K1209"/>
      <c r="L1209"/>
      <c r="N1209"/>
      <c r="P1209"/>
      <c r="Q1209"/>
      <c r="S1209"/>
      <c r="T1209"/>
      <c r="U1209"/>
      <c r="W1209"/>
      <c r="X1209"/>
    </row>
    <row r="1210" spans="1:24" x14ac:dyDescent="0.3">
      <c r="J1210"/>
      <c r="K1210"/>
      <c r="L1210"/>
      <c r="N1210"/>
      <c r="P1210"/>
      <c r="Q1210"/>
      <c r="S1210"/>
      <c r="T1210"/>
      <c r="U1210"/>
      <c r="W1210"/>
      <c r="X1210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James</dc:creator>
  <cp:lastModifiedBy>Joel James</cp:lastModifiedBy>
  <dcterms:created xsi:type="dcterms:W3CDTF">2026-10-14T16:26:10Z</dcterms:created>
  <dcterms:modified xsi:type="dcterms:W3CDTF">2026-10-14T16:27:06Z</dcterms:modified>
</cp:coreProperties>
</file>